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cc7815c2e444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개요" sheetId="1" r:id="R6abf4dbc43b74921"/>
    <x:sheet xmlns:r="http://schemas.openxmlformats.org/officeDocument/2006/relationships" name="스킬 기획" sheetId="2" r:id="R750413374f2d40bb"/>
    <x:sheet xmlns:r="http://schemas.openxmlformats.org/officeDocument/2006/relationships" name="Skills" sheetId="3" r:id="R628e98f6ce6b40b8"/>
    <x:sheet xmlns:r="http://schemas.openxmlformats.org/officeDocument/2006/relationships" name="Effects" sheetId="4" r:id="Rcbaae2b8a4344520"/>
    <x:sheet xmlns:r="http://schemas.openxmlformats.org/officeDocument/2006/relationships" name="EffectRules" sheetId="5" r:id="R93608e976948423d"/>
    <x:sheet xmlns:r="http://schemas.openxmlformats.org/officeDocument/2006/relationships" name="확장 명세" sheetId="6" r:id="R94e845ec45734859"/>
    <x:sheet xmlns:r="http://schemas.openxmlformats.org/officeDocument/2006/relationships" name="설계 기준" sheetId="7" r:id="Radf61a42bc01484a"/>
  </x:sheets>
</x:workbook>
</file>

<file path=xl/sharedStrings.xml><?xml version="1.0" encoding="utf-8"?>
<x:sst xmlns:x="http://schemas.openxmlformats.org/spreadsheetml/2006/main">
  <x:si>
    <x:t xml:space="preserve">스킬 개편안</x:t>
  </x:si>
  <x:si>
    <x:t xml:space="preserve">컨셉별 15개 · 전체 105개 · 추가 35개</x:t>
  </x:si>
  <x:si>
    <x:t xml:space="preserve">중독: 7스택 → 다음 턴 피해 7, 이후 6스택. 누적 피해 28.</x:t>
  </x:si>
  <x:si>
    <x:t xml:space="preserve">컨셉</x:t>
  </x:si>
  <x:si>
    <x:t xml:space="preserve">전체</x:t>
  </x:si>
  <x:si>
    <x:t xml:space="preserve">기존 제안</x:t>
  </x:si>
  <x:si>
    <x:t xml:space="preserve">추가</x:t>
  </x:si>
  <x:si>
    <x:t xml:space="preserve">일반</x:t>
  </x:si>
  <x:si>
    <x:t xml:space="preserve">드문</x:t>
  </x:si>
  <x:si>
    <x:t xml:space="preserve">희귀</x:t>
  </x:si>
  <x:si>
    <x:t xml:space="preserve">영웅</x:t>
  </x:si>
  <x:si>
    <x:t xml:space="preserve">전설</x:t>
  </x:si>
  <x:si>
    <x:t xml:space="preserve">고유</x:t>
  </x:si>
  <x:si>
    <x:t xml:space="preserve">타격</x:t>
  </x:si>
  <x:si>
    <x:t xml:space="preserve">암살</x:t>
  </x:si>
  <x:si>
    <x:t xml:space="preserve">발화</x:t>
  </x:si>
  <x:si>
    <x:t xml:space="preserve">빙결</x:t>
  </x:si>
  <x:si>
    <x:t xml:space="preserve">중독</x:t>
  </x:si>
  <x:si>
    <x:t xml:space="preserve">행운</x:t>
  </x:si>
  <x:si>
    <x:t xml:space="preserve">감전</x:t>
  </x:si>
  <x:si>
    <x:t xml:space="preserve">합계</x:t>
  </x:si>
  <x:si>
    <x:t xml:space="preserve">표현 상태</x:t>
  </x:si>
  <x:si>
    <x:t xml:space="preserve">개수</x:t>
  </x:si>
  <x:si>
    <x:t xml:space="preserve">의미</x:t>
  </x:si>
  <x:si>
    <x:t xml:space="preserve">현행 규칙 조합</x:t>
  </x:si>
  <x:si>
    <x:t xml:space="preserve">현재 스킬 규칙만으로 전체 효과 표현</x:t>
  </x:si>
  <x:si>
    <x:t xml:space="preserve">신규 효과 조합</x:t>
  </x:si>
  <x:si>
    <x:t xml:space="preserve">동봉한 신규 Effects·EffectRules와 조합</x:t>
  </x:si>
  <x:si>
    <x:t xml:space="preserve">고유는 운영 규칙 변경형. 전설의 단순 상위 등급이 아님.</x:t>
  </x:si>
  <x:si>
    <x:t xml:space="preserve">상세 효과는 스킬 기획, 원본 열 순서 데이터는 Skills에서 확인.</x:t>
  </x:si>
  <x:si>
    <x:t xml:space="preserve">수치는 레벨 1 초안. 원본 DB·게임 코드 수정 없음. 기준일 2026-10-17.</x:t>
  </x:si>
  <x:si>
    <x:t xml:space="preserve">번호</x:t>
  </x:si>
  <x:si>
    <x:t xml:space="preserve">구분</x:t>
  </x:si>
  <x:si>
    <x:t xml:space="preserve">스킬명</x:t>
  </x:si>
  <x:si>
    <x:t xml:space="preserve">등급</x:t>
  </x:si>
  <x:si>
    <x:t xml:space="preserve">역할</x:t>
  </x:si>
  <x:si>
    <x:t xml:space="preserve">쿨타임(턴)</x:t>
  </x:si>
  <x:si>
    <x:t xml:space="preserve">행동력</x:t>
  </x:si>
  <x:si>
    <x:t xml:space="preserve">기본 타수</x:t>
  </x:si>
  <x:si>
    <x:t xml:space="preserve">대상</x:t>
  </x:si>
  <x:si>
    <x:t xml:space="preserve">레벨 1 효과</x:t>
  </x:si>
  <x:si>
    <x:t xml:space="preserve">레벨 강화</x:t>
  </x:si>
  <x:si>
    <x:t xml:space="preserve">확장 명세</x:t>
  </x:si>
  <x:si>
    <x:t xml:space="preserve">skillId</x:t>
  </x:si>
  <x:si>
    <x:t xml:space="preserve">속사권</x:t>
  </x:si>
  <x:si>
    <x:t xml:space="preserve">기본기</x:t>
  </x:si>
  <x:si>
    <x:t xml:space="preserve">적 하나</x:t>
  </x:si>
  <x:si>
    <x:t xml:space="preserve">레벨당 각 타격 기본 피해 +1.</x:t>
  </x:si>
  <x:si>
    <x:t xml:space="preserve">skill_v2_strike_01</x:t>
  </x:si>
  <x:si>
    <x:t xml:space="preserve">잇기</x:t>
  </x:si>
  <x:si>
    <x:t xml:space="preserve">턴 내 연계</x:t>
  </x:si>
  <x:si>
    <x:t xml:space="preserve">적 하나를 2회 공격한다. 이번 턴 다른 타격 스킬을 먼저 사용했다면 3회 공격한다. 각 타격은 공격력의 45%+2.</x:t>
  </x:si>
  <x:si>
    <x:t xml:space="preserve">M01</x:t>
  </x:si>
  <x:si>
    <x:t xml:space="preserve">skill_v2_strike_02</x:t>
  </x:si>
  <x:si>
    <x:t xml:space="preserve">가속 연타</x:t>
  </x:si>
  <x:si>
    <x:t xml:space="preserve">타수 성장</x:t>
  </x:si>
  <x:si>
    <x:t xml:space="preserve">기본 2회 공격한다. 이번 턴 앞서 사용한 타격 스킬 1개당 타수 +1, 최대 5회. 각 타격은 공격력의 33%+1.</x:t>
  </x:si>
  <x:si>
    <x:t xml:space="preserve">레벨당 각 타격 기본 피해 +1. 최대 타수는 유지.</x:t>
  </x:si>
  <x:si>
    <x:t xml:space="preserve">skill_v2_strike_03</x:t>
  </x:si>
  <x:si>
    <x:t xml:space="preserve">철갑 두드리기</x:t>
  </x:si>
  <x:si>
    <x:t xml:space="preserve">방어막 파괴</x:t>
  </x:si>
  <x:si>
    <x:t xml:space="preserve">적 하나를 3회 공격한다. 각 타격은 공격력의 45%+2이며, 방어막에만 5의 추가 피해를 준다. 추가분은 체력으로 넘치지 않는다.</x:t>
  </x:si>
  <x:si>
    <x:t xml:space="preserve">레벨당 각 타격 기본 피해 +1, 방어막 전용 피해 +1.</x:t>
  </x:si>
  <x:si>
    <x:t xml:space="preserve">M02</x:t>
  </x:si>
  <x:si>
    <x:t xml:space="preserve">skill_v2_strike_04</x:t>
  </x:si>
  <x:si>
    <x:t xml:space="preserve">분산 난타</x:t>
  </x:si>
  <x:si>
    <x:t xml:space="preserve">다수 대응</x:t>
  </x:si>
  <x:si>
    <x:t xml:space="preserve">무작위 적</x:t>
  </x:si>
  <x:si>
    <x:t xml:space="preserve">무작위 적에게 총 5회 공격한다. 각 타격은 공격력의 30%+2. 적이 하나면 모든 타격이 집중된다.</x:t>
  </x:si>
  <x:si>
    <x:t xml:space="preserve">skill_v2_strike_05</x:t>
  </x:si>
  <x:si>
    <x:t xml:space="preserve">유수의 자세</x:t>
  </x:si>
  <x:si>
    <x:t xml:space="preserve">방어·연계</x:t>
  </x:si>
  <x:si>
    <x:t xml:space="preserve">자신</x:t>
  </x:si>
  <x:si>
    <x:t xml:space="preserve">방어력+8의 방어막을 얻는다. 이번 턴 다음 타격 공격 스킬 1개의 각 타격 피해가 25% 증가한다.</x:t>
  </x:si>
  <x:si>
    <x:t xml:space="preserve">레벨당 방어막 +3. 공격 강화율은 유지.</x:t>
  </x:si>
  <x:si>
    <x:t xml:space="preserve">M03</x:t>
  </x:si>
  <x:si>
    <x:t xml:space="preserve">skill_v2_strike_06</x:t>
  </x:si>
  <x:si>
    <x:t xml:space="preserve">호흡 정돈</x:t>
  </x:si>
  <x:si>
    <x:t xml:space="preserve">행동력 회복</x:t>
  </x:si>
  <x:si>
    <x:t xml:space="preserve">이번 턴 타격 공격 스킬을 2개 이상 사용했다면 행동력 1을 회복한다. 턴당 1회. 유틸리티 스킬은 요구 횟수에 포함하지 않는다.</x:t>
  </x:si>
  <x:si>
    <x:t xml:space="preserve">강화 불가.</x:t>
  </x:si>
  <x:si>
    <x:t xml:space="preserve">M01, M04</x:t>
  </x:si>
  <x:si>
    <x:t xml:space="preserve">skill_v2_strike_07</x:t>
  </x:si>
  <x:si>
    <x:t xml:space="preserve">박자 전환</x:t>
  </x:si>
  <x:si>
    <x:t xml:space="preserve">쿨타임 순환</x:t>
  </x:si>
  <x:si>
    <x:t xml:space="preserve">적 하나에게 공격력의 80%+2 피해를 준다. 자신을 제외한 쿨타임 중인 타격 스킬 하나를 선택해 남은 쿨타임을 1턴 줄인다.</x:t>
  </x:si>
  <x:si>
    <x:t xml:space="preserve">레벨당 기본 피해 +2. 쿨타임 감소량은 유지.</x:t>
  </x:si>
  <x:si>
    <x:t xml:space="preserve">M05</x:t>
  </x:si>
  <x:si>
    <x:t xml:space="preserve">skill_v2_strike_08</x:t>
  </x:si>
  <x:si>
    <x:t xml:space="preserve">몰아치기</x:t>
  </x:si>
  <x:si>
    <x:t xml:space="preserve">전투 누적</x:t>
  </x:si>
  <x:si>
    <x:t xml:space="preserve">적 하나를 4회 공격한다. 각 타격 피해는 공격력의 40%+2이며, 이번 전투 앞선 타격 공격 스킬 사용 1회당 각 타격 피해 +1, 최대 +12.</x:t>
  </x:si>
  <x:si>
    <x:t xml:space="preserve">레벨당 각 타격 기본 피해 +1. 누적 보너스 상한은 유지.</x:t>
  </x:si>
  <x:si>
    <x:t xml:space="preserve">skill_v2_strike_09</x:t>
  </x:si>
  <x:si>
    <x:t xml:space="preserve">백열연무</x:t>
  </x:si>
  <x:si>
    <x:t xml:space="preserve">턴 마무리</x:t>
  </x:si>
  <x:si>
    <x:t xml:space="preserve">적 하나를 6회 공격한다. 이번 턴 서로 다른 타격 공격 스킬 3개를 먼저 사용했다면 9회 공격한다. 각 타격은 공격력의 35%+2. 사용 후 턴 연계 횟수를 초기화한다.</x:t>
  </x:si>
  <x:si>
    <x:t xml:space="preserve">skill_v2_strike_10</x:t>
  </x:si>
  <x:si>
    <x:t xml:space="preserve">추가 5개</x:t>
  </x:si>
  <x:si>
    <x:t xml:space="preserve">끊어치기</x:t>
  </x:si>
  <x:si>
    <x:t xml:space="preserve">공격 약화</x:t>
  </x:si>
  <x:si>
    <x:t xml:space="preserve">적 하나를 2회 공격한다. 각 타격은 공격력의 55%+2. 공격 후 대상의 공격력을 1턴 동안 33% 감소시킨다.</x:t>
  </x:si>
  <x:si>
    <x:t xml:space="preserve">레벨당 각 타격 기본 피해 +1. 약화량과 지속시간은 유지.</x:t>
  </x:si>
  <x:si>
    <x:t xml:space="preserve">skill_v2_strike_11</x:t>
  </x:si>
  <x:si>
    <x:t xml:space="preserve">진각</x:t>
  </x:si>
  <x:si>
    <x:t xml:space="preserve">광역 기본기</x:t>
  </x:si>
  <x:si>
    <x:t xml:space="preserve">적 전체</x:t>
  </x:si>
  <x:si>
    <x:t xml:space="preserve">적 전체를 각각 2회 공격한다. 각 타격 피해는 공격력의 45%+2.</x:t>
  </x:si>
  <x:si>
    <x:t xml:space="preserve">skill_v2_strike_12</x:t>
  </x:si>
  <x:si>
    <x:t xml:space="preserve">반격 연타</x:t>
  </x:si>
  <x:si>
    <x:t xml:space="preserve">방어 반격</x:t>
  </x:si>
  <x:si>
    <x:t xml:space="preserve">방어력+4의 방어막을 얻는다. 다음 몬스터 턴에 방어막으로 직접 공격을 막으면 공격자에게 3회 반격한다. 반격은 공격력의 33%+2, 전체 효과 중 1회만 발동.</x:t>
  </x:si>
  <x:si>
    <x:t xml:space="preserve">레벨당 방어막 +3, 반격 각 타격 피해 +1.</x:t>
  </x:si>
  <x:si>
    <x:t xml:space="preserve">M06</x:t>
  </x:si>
  <x:si>
    <x:t xml:space="preserve">skill_v2_strike_13</x:t>
  </x:si>
  <x:si>
    <x:t xml:space="preserve">연계 보존</x:t>
  </x:si>
  <x:si>
    <x:t xml:space="preserve">턴 연계 규칙</x:t>
  </x:si>
  <x:si>
    <x:t xml:space="preserve">이번 턴의 타격 스킬 사용 횟수를 최대 2회까지 이번 턴에 저장한다. 다음 턴 첫 타격 스킬을 사용하면 저장된 타격 스킬 사용 횟수를 해당 스킬에 반영하고 소멸한다. 서로 다른 스킬 조건에는 포함하지 않는다.</x:t>
  </x:si>
  <x:si>
    <x:t xml:space="preserve">skill_v2_strike_14</x:t>
  </x:si>
  <x:si>
    <x:t xml:space="preserve">천수난무</x:t>
  </x:si>
  <x:si>
    <x:t xml:space="preserve">전투 마무리</x:t>
  </x:si>
  <x:si>
    <x:t xml:space="preserve">적 하나를 8회 공격한다. 각 타격은 공격력의 55%+2. 이번 전투 타격 공격 사용 8회 이상일 때 사용 가능하며 전투당 1회.</x:t>
  </x:si>
  <x:si>
    <x:t xml:space="preserve">skill_v2_strike_15</x:t>
  </x:si>
  <x:si>
    <x:t xml:space="preserve">선수필살</x:t>
  </x:si>
  <x:si>
    <x:t xml:space="preserve">선제 공격</x:t>
  </x:si>
  <x:si>
    <x:t xml:space="preserve">적 하나에게 공격력의 125%+5 피해를 준다. 이번 전투 아직 체력 피해를 받지 않았다면 피해가 50% 증가한다. 전투당 1회.</x:t>
  </x:si>
  <x:si>
    <x:t xml:space="preserve">레벨당 기본 피해 +4.</x:t>
  </x:si>
  <x:si>
    <x:t xml:space="preserve">M07</x:t>
  </x:si>
  <x:si>
    <x:t xml:space="preserve">skill_v2_assassin_01</x:t>
  </x:si>
  <x:si>
    <x:t xml:space="preserve">급소 찌르기</x:t>
  </x:si>
  <x:si>
    <x:t xml:space="preserve">처형</x:t>
  </x:si>
  <x:si>
    <x:t xml:space="preserve">적 하나에게 공격력의 110%+4 피해를 준다. 대상 체력이 최대 체력의 30% 미만이면 피해가 60% 증가한다.</x:t>
  </x:si>
  <x:si>
    <x:t xml:space="preserve">레벨당 기본 피해 +3. 처형 기준은 유지.</x:t>
  </x:si>
  <x:si>
    <x:t xml:space="preserve">skill_v2_assassin_02</x:t>
  </x:si>
  <x:si>
    <x:t xml:space="preserve">사선 베기</x:t>
  </x:si>
  <x:si>
    <x:t xml:space="preserve">저체력 단타</x:t>
  </x:si>
  <x:si>
    <x:t xml:space="preserve">적 하나에게 공격력의 120%+5 피해를 준다. 자신의 체력이 낮을수록 피해가 최대 80% 증가하며, 체력 30% 이하에서 최대 위력이 된다.</x:t>
  </x:si>
  <x:si>
    <x:t xml:space="preserve">레벨당 기본 피해 +4. 저체력 보너스 상한 80% 유지.</x:t>
  </x:si>
  <x:si>
    <x:t xml:space="preserve">M08</x:t>
  </x:si>
  <x:si>
    <x:t xml:space="preserve">skill_v2_assassin_03</x:t>
  </x:si>
  <x:si>
    <x:t xml:space="preserve">목숨 담보</x:t>
  </x:si>
  <x:si>
    <x:t xml:space="preserve">자해 단타</x:t>
  </x:si>
  <x:si>
    <x:t xml:space="preserve">자신의 체력 5을 소모한 뒤 (체력소모는 방어막 무시) 적 하나에게 공격력의 220%+8 피해를 준다. 현재 체력이 5 이하면 사용할 수 없다.</x:t>
  </x:si>
  <x:si>
    <x:t xml:space="preserve">skill_v2_assassin_04</x:t>
  </x:si>
  <x:si>
    <x:t xml:space="preserve">무방비의 칼날</x:t>
  </x:si>
  <x:si>
    <x:t xml:space="preserve">공격 후 위험</x:t>
  </x:si>
  <x:si>
    <x:t xml:space="preserve">적 하나에게 공격력의 270%+10 피해를 준다. 다음 자신의 턴 시작까지 회피율이 20%p 감소하고 받는 직접 공격 피해가 25% 증가한다.</x:t>
  </x:si>
  <x:si>
    <x:t xml:space="preserve">레벨당 기본 피해 +7.</x:t>
  </x:si>
  <x:si>
    <x:t xml:space="preserve">M09</x:t>
  </x:si>
  <x:si>
    <x:t xml:space="preserve">skill_v2_assassin_05</x:t>
  </x:si>
  <x:si>
    <x:t xml:space="preserve">그림자 걸음</x:t>
  </x:si>
  <x:si>
    <x:t xml:space="preserve">회피</x:t>
  </x:si>
  <x:si>
    <x:t xml:space="preserve">다음 몬스터 턴이 끝날 때까지 회피율이 40%p 증가한다.</x:t>
  </x:si>
  <x:si>
    <x:t xml:space="preserve">skill_v2_assassin_06</x:t>
  </x:si>
  <x:si>
    <x:t xml:space="preserve">허점 읽기</x:t>
  </x:si>
  <x:si>
    <x:t xml:space="preserve">표적 준비</x:t>
  </x:si>
  <x:si>
    <x:t xml:space="preserve">적 하나의 명중률을 다음 몬스터 턴까지 20%p 낮춘다. 그 적에게 가하는 다음 "암살" 키워드 스킬의 1회의 피해가 35% 증가한다.</x:t>
  </x:si>
  <x:si>
    <x:t xml:space="preserve">레벨당 다음 암살 공격의 고정 피해 +3. 강화율 35% 유지.</x:t>
  </x:si>
  <x:si>
    <x:t xml:space="preserve">skill_v2_assassin_07</x:t>
  </x:si>
  <x:si>
    <x:t xml:space="preserve">일격이탈</x:t>
  </x:si>
  <x:si>
    <x:t xml:space="preserve">공격·회피</x:t>
  </x:si>
  <x:si>
    <x:t xml:space="preserve">적 하나에게 공격력의 110%+4 피해를 주고 다음 몬스터 턴까지 자신의 회피율을 20%p 높인다.</x:t>
  </x:si>
  <x:si>
    <x:t xml:space="preserve">레벨당 기본 피해 +3.</x:t>
  </x:si>
  <x:si>
    <x:t xml:space="preserve">skill_v2_assassin_08</x:t>
  </x:si>
  <x:si>
    <x:t xml:space="preserve">재습격</x:t>
  </x:si>
  <x:si>
    <x:t xml:space="preserve">회피 보상</x:t>
  </x:si>
  <x:si>
    <x:t xml:space="preserve">다음 몬스터 턴까지 회피 성공을 기다린다. 한 번이라도 회피하면 다음 암살 공격 1회의 피해가 60% 증가한다. 강화는 2턴 이내 사용하며 중복 획득하지 않는다.</x:t>
  </x:si>
  <x:si>
    <x:t xml:space="preserve">레벨당 강화 공격의 고정 피해 +4.</x:t>
  </x:si>
  <x:si>
    <x:t xml:space="preserve">M03, M10</x:t>
  </x:si>
  <x:si>
    <x:t xml:space="preserve">skill_v2_assassin_09</x:t>
  </x:si>
  <x:si>
    <x:t xml:space="preserve">생사일섬</x:t>
  </x:si>
  <x:si>
    <x:t xml:space="preserve">결전</x:t>
  </x:si>
  <x:si>
    <x:t xml:space="preserve">자신 또는 대상 체력이 30% 이하일 때 사용한다. 적 하나에게 공격력의 240%+12 피해를 주며, 둘 다 조건을 만족하면 피해가 80% 증가한다.</x:t>
  </x:si>
  <x:si>
    <x:t xml:space="preserve">레벨당 기본 피해 +8.</x:t>
  </x:si>
  <x:si>
    <x:t xml:space="preserve">skill_v2_assassin_10</x:t>
  </x:si>
  <x:si>
    <x:t xml:space="preserve">결투 선언</x:t>
  </x:si>
  <x:si>
    <x:t xml:space="preserve">위험한 준비</x:t>
  </x:si>
  <x:si>
    <x:t xml:space="preserve">적 하나에게 결투 표식을 2턴 부여한다. 표적에게 주는 암살 피해가 40% 증가하지만, 표적이 자신에게 주는 직접 공격 피해도 20% 증가한다.</x:t>
  </x:si>
  <x:si>
    <x:t xml:space="preserve">레벨당 표적에게 주는 암살 공격 고정 피해 +2.</x:t>
  </x:si>
  <x:si>
    <x:t xml:space="preserve">M09, M11</x:t>
  </x:si>
  <x:si>
    <x:t xml:space="preserve">skill_v2_assassin_11</x:t>
  </x:si>
  <x:si>
    <x:t xml:space="preserve">추적의 칼날</x:t>
  </x:si>
  <x:si>
    <x:t xml:space="preserve">회피 대응</x:t>
  </x:si>
  <x:si>
    <x:t xml:space="preserve">적 하나에게 공격력의 130%+6 피해를 준다. 이 공격에 한해 대상의 회피율을 무시한다. 다른 공격에는 적용하지 않는다.</x:t>
  </x:si>
  <x:si>
    <x:t xml:space="preserve">M12</x:t>
  </x:si>
  <x:si>
    <x:t xml:space="preserve">skill_v2_assassin_12</x:t>
  </x:si>
  <x:si>
    <x:t xml:space="preserve">연막탄</x:t>
  </x:si>
  <x:si>
    <x:t xml:space="preserve">다수 회피</x:t>
  </x:si>
  <x:si>
    <x:t xml:space="preserve">적 전체의 명중률을 다음 몬스터 턴까지 25%p 낮추고 자신의 회피율을 같은 기간 15%p 높인다.</x:t>
  </x:si>
  <x:si>
    <x:t xml:space="preserve">skill_v2_assassin_13</x:t>
  </x:si>
  <x:si>
    <x:t xml:space="preserve">배수의 각오</x:t>
  </x:si>
  <x:si>
    <x:t xml:space="preserve">방어 포기</x:t>
  </x:si>
  <x:si>
    <x:t xml:space="preserve">자신의 현재 방어막을 모두 제거한다. 다음 몬스터 턴이 끝날 때까지 방어막을 얻을 수 없고, 다음 암살 공격 1회의 피해가 80% 증가한다.</x:t>
  </x:si>
  <x:si>
    <x:t xml:space="preserve">M03, M13</x:t>
  </x:si>
  <x:si>
    <x:t xml:space="preserve">skill_v2_assassin_14</x:t>
  </x:si>
  <x:si>
    <x:t xml:space="preserve">사신의 유예</x:t>
  </x:si>
  <x:si>
    <x:t xml:space="preserve">처치 도박</x:t>
  </x:si>
  <x:si>
    <x:t xml:space="preserve">적 하나에게 공격력의 280%+12 피해를 준다. 이 공격으로 대상을 처치하지 못하면 자신의 최대 체력의 15%를 잃는다. 반동은 방어막을 무시한다.</x:t>
  </x:si>
  <x:si>
    <x:t xml:space="preserve">레벨당 기본 피해 +8. 실패 반동 비율은 유지.</x:t>
  </x:si>
  <x:si>
    <x:t xml:space="preserve">M08, M14</x:t>
  </x:si>
  <x:si>
    <x:t xml:space="preserve">skill_v2_assassin_15</x:t>
  </x:si>
  <x:si>
    <x:t xml:space="preserve">불씨</x:t>
  </x:si>
  <x:si>
    <x:t xml:space="preserve">단일 시동</x:t>
  </x:si>
  <x:si>
    <x:t xml:space="preserve">적 하나에게 공격력의 40%+2 피해를 주고 발화 2스택을 부여한다.</x:t>
  </x:si>
  <x:si>
    <x:t xml:space="preserve">레벨당 직접 피해 +2. 발화 부여량 2 유지.</x:t>
  </x:si>
  <x:si>
    <x:t xml:space="preserve">skill_v2_burn_01</x:t>
  </x:si>
  <x:si>
    <x:t xml:space="preserve">화염 살포</x:t>
  </x:si>
  <x:si>
    <x:t xml:space="preserve">광역 시동</x:t>
  </x:si>
  <x:si>
    <x:t xml:space="preserve">적 전체에게 공격력의 25%+1 피해를 주고 발화 1스택을 부여한다.</x:t>
  </x:si>
  <x:si>
    <x:t xml:space="preserve">레벨당 각 대상 직접 피해 +1.</x:t>
  </x:si>
  <x:si>
    <x:t xml:space="preserve">skill_v2_burn_02</x:t>
  </x:si>
  <x:si>
    <x:t xml:space="preserve">불길 부채질</x:t>
  </x:si>
  <x:si>
    <x:t xml:space="preserve">집중 누적</x:t>
  </x:si>
  <x:si>
    <x:t xml:space="preserve">이미 발화 중인 적 하나에게 발화 3스택을 추가한다. 직접 공격 피해는 없다.</x:t>
  </x:si>
  <x:si>
    <x:t xml:space="preserve">skill_v2_burn_03</x:t>
  </x:si>
  <x:si>
    <x:t xml:space="preserve">도화선</x:t>
  </x:si>
  <x:si>
    <x:t xml:space="preserve">폭발 준비</x:t>
  </x:si>
  <x:si>
    <x:t xml:space="preserve">적 하나에게 발화 1스택과 도화선 표식을 부여한다. 2턴 이내 그 적의 발화를 소모하는 다음 폭발 피해가 40% 증가하고 표식이 사라진다.</x:t>
  </x:si>
  <x:si>
    <x:t xml:space="preserve">레벨당 도화선 폭발의 고정 피해 +4.</x:t>
  </x:si>
  <x:si>
    <x:t xml:space="preserve">M03, M15</x:t>
  </x:si>
  <x:si>
    <x:t xml:space="preserve">skill_v2_burn_04</x:t>
  </x:si>
  <x:si>
    <x:t xml:space="preserve">불길 옮기기</x:t>
  </x:si>
  <x:si>
    <x:t xml:space="preserve">스택 확산</x:t>
  </x:si>
  <x:si>
    <x:t xml:space="preserve">발화한 적 하나의 현재 스택 절반을 버림해 다른 적 각각에게 복사한다. 복사량은 대상당 최대 3스택이며 원본 스택은 유지한다. 원본 2스택 이상 필요.</x:t>
  </x:si>
  <x:si>
    <x:t xml:space="preserve">M16</x:t>
  </x:si>
  <x:si>
    <x:t xml:space="preserve">skill_v2_burn_05</x:t>
  </x:si>
  <x:si>
    <x:t xml:space="preserve">잔불 회수</x:t>
  </x:si>
  <x:si>
    <x:t xml:space="preserve">스택으로 방어</x:t>
  </x:si>
  <x:si>
    <x:t xml:space="preserve">적 전체의 발화를 각각 최대 1스택 소모한다. 소모한 총스택 1당 방어막 6을 얻는다. 발화한 적이 있어야 사용 가능하다.</x:t>
  </x:si>
  <x:si>
    <x:t xml:space="preserve">레벨당 소모 스택당 방어막 +1.</x:t>
  </x:si>
  <x:si>
    <x:t xml:space="preserve">M17</x:t>
  </x:si>
  <x:si>
    <x:t xml:space="preserve">skill_v2_burn_06</x:t>
  </x:si>
  <x:si>
    <x:t xml:space="preserve">연소 촉진</x:t>
  </x:si>
  <x:si>
    <x:t xml:space="preserve">지속 피해 강화</x:t>
  </x:si>
  <x:si>
    <x:t xml:space="preserve">적 하나의 다음 자연 발화 피해 1회가 50% 증가한다. 표식은 2턴 유지하며 폭발에는 적용하지 않는다.</x:t>
  </x:si>
  <x:si>
    <x:t xml:space="preserve">레벨당 강화되는 자연 발화 피해 +2.</x:t>
  </x:si>
  <x:si>
    <x:t xml:space="preserve">M03, M18</x:t>
  </x:si>
  <x:si>
    <x:t xml:space="preserve">skill_v2_burn_07</x:t>
  </x:si>
  <x:si>
    <x:t xml:space="preserve">국소 폭발</x:t>
  </x:si>
  <x:si>
    <x:t xml:space="preserve">부분 스택 소모</x:t>
  </x:si>
  <x:si>
    <x:t xml:space="preserve">적 하나의 발화를 최대 3스택 소모한다. 소모 1스택당 대상 최대 체력의 1.5% 피해를 즉시 준다. 나머지 발화는 유지한다.</x:t>
  </x:si>
  <x:si>
    <x:t xml:space="preserve">레벨당 소모 스택당 최대 체력 피해 +0.1%p.</x:t>
  </x:si>
  <x:si>
    <x:t xml:space="preserve">M15, M17</x:t>
  </x:si>
  <x:si>
    <x:t xml:space="preserve">skill_v2_burn_08</x:t>
  </x:si>
  <x:si>
    <x:t xml:space="preserve">폭심지</x:t>
  </x:si>
  <x:si>
    <x:t xml:space="preserve">광역 폭발</x:t>
  </x:si>
  <x:si>
    <x:t xml:space="preserve">적 하나의 발화를 모두 소모한다. 최대 12스택까지 위력에 반영한다. 소모 스택당 중심 대상은 자신의 최대 체력 1.5%, 다른 적은 각자 최대 체력 0.5% 피해를 받는다.</x:t>
  </x:si>
  <x:si>
    <x:t xml:space="preserve">레벨당 중심 대상 피해에 공격력의 15% 추가. 비례 피해율은 유지.</x:t>
  </x:si>
  <x:si>
    <x:t xml:space="preserve">skill_v2_burn_09</x:t>
  </x:si>
  <x:si>
    <x:t xml:space="preserve">연쇄 소각</x:t>
  </x:si>
  <x:si>
    <x:t xml:space="preserve">처치 확산</x:t>
  </x:si>
  <x:si>
    <x:t xml:space="preserve">3턴 동안 발화 폭발로 적을 처치하면 생존한 다른 적 전체에 발화 2스택을 부여한다. 한 번의 폭발에서 여러 적을 처치해도 1회만 발동하며 총 3회까지 발동한다.</x:t>
  </x:si>
  <x:si>
    <x:t xml:space="preserve">M14, M18</x:t>
  </x:si>
  <x:si>
    <x:t xml:space="preserve">skill_v2_burn_10</x:t>
  </x:si>
  <x:si>
    <x:t xml:space="preserve">화상 낙인</x:t>
  </x:si>
  <x:si>
    <x:t xml:space="preserve">지속 약화</x:t>
  </x:si>
  <x:si>
    <x:t xml:space="preserve">적 하나에게 2턴 동안 화상 낙인을 부여한다. 해당 적이 받는 자연 발화 피해가 25% 증가한다. 폭발 피해는 증가하지 않는다.</x:t>
  </x:si>
  <x:si>
    <x:t xml:space="preserve">레벨당 자연 발화 피해의 고정 추가분 +1.</x:t>
  </x:si>
  <x:si>
    <x:t xml:space="preserve">M18</x:t>
  </x:si>
  <x:si>
    <x:t xml:space="preserve">skill_v2_burn_11</x:t>
  </x:si>
  <x:si>
    <x:t xml:space="preserve">불씨비</x:t>
  </x:si>
  <x:si>
    <x:t xml:space="preserve">다단 시동</x:t>
  </x:si>
  <x:si>
    <x:t xml:space="preserve">무작위 적에게 총 3회 공격한다. 각 타격은 공격력의 30%+2 피해이며 명중할 때마다 발화 1스택을 부여한다.</x:t>
  </x:si>
  <x:si>
    <x:t xml:space="preserve">레벨당 각 타격 직접 피해 +1.</x:t>
  </x:si>
  <x:si>
    <x:t xml:space="preserve">M19</x:t>
  </x:si>
  <x:si>
    <x:t xml:space="preserve">skill_v2_burn_12</x:t>
  </x:si>
  <x:si>
    <x:t xml:space="preserve">소각장</x:t>
  </x:si>
  <x:si>
    <x:t xml:space="preserve">지속 광역</x:t>
  </x:si>
  <x:si>
    <x:t xml:space="preserve">이번 턴부터 3번의 몬스터 턴 시작 직전, 생존 적 전체에 발화 1스택을 부여한다. 한 번에 소각장 하나만 유지하며 재사용해도 중첩되지 않는다.</x:t>
  </x:si>
  <x:si>
    <x:t xml:space="preserve">M20</x:t>
  </x:si>
  <x:si>
    <x:t xml:space="preserve">skill_v2_burn_13</x:t>
  </x:si>
  <x:si>
    <x:t xml:space="preserve">역화</x:t>
  </x:si>
  <x:si>
    <x:t xml:space="preserve">방어 반응</x:t>
  </x:si>
  <x:si>
    <x:t xml:space="preserve">방어력+12의 방어막을 얻는다. 다음 몬스터 턴에 방어막으로 직접 공격을 막을 때 공격자에게 발화 1스택 부여. 공격자당 1회, 전체 최대 3회.</x:t>
  </x:si>
  <x:si>
    <x:t xml:space="preserve">레벨당 방어막 +3.</x:t>
  </x:si>
  <x:si>
    <x:t xml:space="preserve">skill_v2_burn_14</x:t>
  </x:si>
  <x:si>
    <x:t xml:space="preserve">재점화</x:t>
  </x:si>
  <x:si>
    <x:t xml:space="preserve">폭발 후 복구</x:t>
  </x:si>
  <x:si>
    <x:t xml:space="preserve">이번 턴 다음 발화 폭발 1회가 스택을 소모한 뒤, 살아 있는 중심 대상에게 발화 3스택을 다시 부여한다. 이 재부여는 추가 폭발을 일으키지 않는다.</x:t>
  </x:si>
  <x:si>
    <x:t xml:space="preserve">skill_v2_burn_15</x:t>
  </x:si>
  <x:si>
    <x:t xml:space="preserve">서리침</x:t>
  </x:si>
  <x:si>
    <x:t xml:space="preserve">냉기 기본기</x:t>
  </x:si>
  <x:si>
    <x:t xml:space="preserve">적 하나에게 공격력의 40%+2 피해를 주고 냉기 2스택을 부여한다. 냉기는 스택당 회피율 5%p와 방어력 1을 감소시킨다.</x:t>
  </x:si>
  <x:si>
    <x:t xml:space="preserve">레벨당 직접 피해 +2. 냉기 2스택 유지.</x:t>
  </x:si>
  <x:si>
    <x:t xml:space="preserve">skill_v2_frost_01</x:t>
  </x:si>
  <x:si>
    <x:t xml:space="preserve">냉기 분사</x:t>
  </x:si>
  <x:si>
    <x:t xml:space="preserve">광역 냉기</x:t>
  </x:si>
  <x:si>
    <x:t xml:space="preserve">적 전체에게 냉기 2스택을 부여한다. 직접 피해 없이 여러 적의 회피율과 방어력을 낮춘다.</x:t>
  </x:si>
  <x:si>
    <x:t xml:space="preserve">skill_v2_frost_02</x:t>
  </x:si>
  <x:si>
    <x:t xml:space="preserve">오한</x:t>
  </x:si>
  <x:si>
    <x:t xml:space="preserve">집중 축적</x:t>
  </x:si>
  <x:si>
    <x:t xml:space="preserve">적 하나에게 냉기 4스택을 부여한다. 냉기만으로 자동 빙결되지는 않으며 냉동 스킬의 조건을 준비한다.</x:t>
  </x:si>
  <x:si>
    <x:t xml:space="preserve">skill_v2_frost_03</x:t>
  </x:si>
  <x:si>
    <x:t xml:space="preserve">백무</x:t>
  </x:si>
  <x:si>
    <x:t xml:space="preserve">광역 방어 약화</x:t>
  </x:si>
  <x:si>
    <x:t xml:space="preserve">적 전체에게 냉기 1스택을 부여하고, 명중률을 2번의 몬스터 턴 동안 15%p 감소시킨다. 냉기는 별도로 유지된다.</x:t>
  </x:si>
  <x:si>
    <x:t xml:space="preserve">skill_v2_frost_04</x:t>
  </x:si>
  <x:si>
    <x:t xml:space="preserve">급속 동결</x:t>
  </x:si>
  <x:si>
    <x:t xml:space="preserve">단일 냉동</x:t>
  </x:si>
  <x:si>
    <x:t xml:space="preserve">적 하나에게 공격력의 60%+4 피해를 준 뒤 냉기 2스택을 부여한다. 부여 후 냉기가 5스택 이상이면 빙결시킨다. 부족해도 공격과 냉기 부여는 적용된다.</x:t>
  </x:si>
  <x:si>
    <x:t xml:space="preserve">레벨당 직접 피해 +3. 냉동 기준 5스택 유지.</x:t>
  </x:si>
  <x:si>
    <x:t xml:space="preserve">M21, M22, M23</x:t>
  </x:si>
  <x:si>
    <x:t xml:space="preserve">skill_v2_frost_05</x:t>
  </x:si>
  <x:si>
    <x:t xml:space="preserve">빙벽</x:t>
  </x:si>
  <x:si>
    <x:t xml:space="preserve">큰 방어막</x:t>
  </x:si>
  <x:si>
    <x:t xml:space="preserve">방어력의 200%+20에 해당하는 방어막을 얻는다. 자신을 빙결시키지 않고 다음 공격을 버티는 기본 방어 기술.</x:t>
  </x:si>
  <x:si>
    <x:t xml:space="preserve">레벨당 방어막 +4.</x:t>
  </x:si>
  <x:si>
    <x:t xml:space="preserve">skill_v2_frost_06</x:t>
  </x:si>
  <x:si>
    <x:t xml:space="preserve">서리 갑주</x:t>
  </x:si>
  <x:si>
    <x:t xml:space="preserve">방어 반응 냉기</x:t>
  </x:si>
  <x:si>
    <x:t xml:space="preserve">방어력+14의 방어막을 얻는다. 다음 몬스터 턴에 방어막으로 직접 공격을 막으면 공격자에게 냉기 2스택을 부여한다. 공격자당 1회, 전체 최대 3회.</x:t>
  </x:si>
  <x:si>
    <x:t xml:space="preserve">skill_v2_frost_07</x:t>
  </x:si>
  <x:si>
    <x:t xml:space="preserve">냉동 광선</x:t>
  </x:si>
  <x:si>
    <x:t xml:space="preserve">집중 냉동</x:t>
  </x:si>
  <x:si>
    <x:t xml:space="preserve">적 하나에게 냉기 3스택을 부여한다. 부여 후 냉기가 8스택 이상이면 빙결시킨다. 직접 공격 피해가 없어 이미 걸린 빙결을 깨지 않는다.</x:t>
  </x:si>
  <x:si>
    <x:t xml:space="preserve">M21, M22</x:t>
  </x:si>
  <x:si>
    <x:t xml:space="preserve">skill_v2_frost_08</x:t>
  </x:si>
  <x:si>
    <x:t xml:space="preserve">쇄빙</x:t>
  </x:si>
  <x:si>
    <x:t xml:space="preserve">빙결 파괴 단타</x:t>
  </x:si>
  <x:si>
    <x:t xml:space="preserve">적 하나에게 공격력의 160%+6 피해를 준다. 빙결을 깨뜨리면 해당 공격의 빙결 파괴 추가 피해가 50% 증가한다. 빙결이 아니면 공격 후 냉기 2스택을 부여한다.</x:t>
  </x:si>
  <x:si>
    <x:t xml:space="preserve">레벨당 직접 피해 +4. 파괴 추가 피해 증가율 50% 유지.</x:t>
  </x:si>
  <x:si>
    <x:t xml:space="preserve">M23</x:t>
  </x:si>
  <x:si>
    <x:t xml:space="preserve">skill_v2_frost_09</x:t>
  </x:si>
  <x:si>
    <x:t xml:space="preserve">파쇄의 종</x:t>
  </x:si>
  <x:si>
    <x:t xml:space="preserve">광역 빙결 파괴</x:t>
  </x:si>
  <x:si>
    <x:t xml:space="preserve">빙결된 적 전체의 빙결을 원격으로 깨뜨리고 각 대상의 냉기 스택당 5의 파괴 추가 피해를 준다. 빙결되지 않은 적에게는 대신 냉기 2스택을 부여한다. 이 피해는 직접 타격이 아니다.</x:t>
  </x:si>
  <x:si>
    <x:t xml:space="preserve">M21, M23</x:t>
  </x:si>
  <x:si>
    <x:t xml:space="preserve">skill_v2_frost_10</x:t>
  </x:si>
  <x:si>
    <x:t xml:space="preserve">냉각 순환</x:t>
  </x:si>
  <x:si>
    <x:t xml:space="preserve">방어·순환</x:t>
  </x:si>
  <x:si>
    <x:t xml:space="preserve">방어력+10의 방어막을 얻고, 쿨타임 중인 다른 빙결 컨셉 스킬 하나를 선택해 남은 쿨타임을 1턴 줄인다.</x:t>
  </x:si>
  <x:si>
    <x:t xml:space="preserve">skill_v2_frost_11</x:t>
  </x:si>
  <x:si>
    <x:t xml:space="preserve">빙하 방벽</x:t>
  </x:si>
  <x:si>
    <x:t xml:space="preserve">광역 축적·방어</x:t>
  </x:si>
  <x:si>
    <x:t xml:space="preserve">방어력의 160%+16의 방어막을 얻고 적 전체에게 냉기 2스택을 부여한다. 냉기만으로 자동 빙결되지는 않는다.</x:t>
  </x:si>
  <x:si>
    <x:t xml:space="preserve">레벨당 방어막 +5.</x:t>
  </x:si>
  <x:si>
    <x:t xml:space="preserve">skill_v2_frost_12</x:t>
  </x:si>
  <x:si>
    <x:t xml:space="preserve">빙하의 관</x:t>
  </x:si>
  <x:si>
    <x:t xml:space="preserve">자기 빙결·방어막/회복</x:t>
  </x:si>
  <x:si>
    <x:t xml:space="preserve">M24, M32</x:t>
  </x:si>
  <x:si>
    <x:t xml:space="preserve">skill_v2_frost_13</x:t>
  </x:si>
  <x:si>
    <x:t xml:space="preserve">절대영도</x:t>
  </x:si>
  <x:si>
    <x:t xml:space="preserve">자기 빙결·무적</x:t>
  </x:si>
  <x:si>
    <x:t xml:space="preserve">자기 빙결되어 즉시 남은 행동을 못 하고 다음 자신의 턴 1회를 건너뛴다. 그다음 자신의 턴 시작까지 무적이며 직접 공격·지속·반사 피해를 받지 않는다. 피격으로 풀리지 않는다. 전투당 1회.</x:t>
  </x:si>
  <x:si>
    <x:t xml:space="preserve">M24, M33</x:t>
  </x:si>
  <x:si>
    <x:t xml:space="preserve">skill_v2_frost_14</x:t>
  </x:si>
  <x:si>
    <x:t xml:space="preserve">영구동토</x:t>
  </x:si>
  <x:si>
    <x:t xml:space="preserve">광역 냉동 결전</x:t>
  </x:si>
  <x:si>
    <x:t xml:space="preserve">적 전체에게 냉기 4스택을 부여한다. 부여 후 8스택 이상인 적을 각각 빙결시키고 자신은 방어력+15의 방어막을 얻는다. 빙결되지 않은 적도 냉기는 받는다. 전투당 1회.</x:t>
  </x:si>
  <x:si>
    <x:t xml:space="preserve">레벨당 자신의 방어막 +4. 냉기 부여량과 냉동 기준은 유지.</x:t>
  </x:si>
  <x:si>
    <x:t xml:space="preserve">skill_v2_frost_15</x:t>
  </x:si>
  <x:si>
    <x:t xml:space="preserve">독침</x:t>
  </x:si>
  <x:si>
    <x:t xml:space="preserve">기본 시동</x:t>
  </x:si>
  <x:si>
    <x:t xml:space="preserve">적 하나에게 공격력의 35%+2 피해를 주고 중독 2스택을 부여한다. 중독은 다음 자신의 턴 시작에 현재 스택만큼 고정 피해를 주고 1스택 감소한다.</x:t>
  </x:si>
  <x:si>
    <x:t xml:space="preserve">레벨당 직접 피해 +1. 중독 2스택 유지.</x:t>
  </x:si>
  <x:si>
    <x:t xml:space="preserve">skill_v2_poison_01</x:t>
  </x:si>
  <x:si>
    <x:t xml:space="preserve">맹독 주입</x:t>
  </x:si>
  <x:si>
    <x:t xml:space="preserve">적 하나에게 중독 5스택을 부여한다. 직접 공격 피해는 없다.</x:t>
  </x:si>
  <x:si>
    <x:t xml:space="preserve">skill_v2_poison_02</x:t>
  </x:si>
  <x:si>
    <x:t xml:space="preserve">독무</x:t>
  </x:si>
  <x:si>
    <x:t xml:space="preserve">적 전체에게 중독 3스택을 부여한다.</x:t>
  </x:si>
  <x:si>
    <x:t xml:space="preserve">skill_v2_poison_03</x:t>
  </x:si>
  <x:si>
    <x:t xml:space="preserve">배양</x:t>
  </x:si>
  <x:si>
    <x:t xml:space="preserve">조건부 누적</x:t>
  </x:si>
  <x:si>
    <x:t xml:space="preserve">중독된 적 하나에게 중독 4스택을 추가한다. 현재 중독이 10스택 이상이면 2스택을 더 추가한다.</x:t>
  </x:si>
  <x:si>
    <x:t xml:space="preserve">M22</x:t>
  </x:si>
  <x:si>
    <x:t xml:space="preserve">skill_v2_poison_04</x:t>
  </x:si>
  <x:si>
    <x:t xml:space="preserve">독성 보존</x:t>
  </x:si>
  <x:si>
    <x:t xml:space="preserve">스택 유지</x:t>
  </x:si>
  <x:si>
    <x:t xml:space="preserve">대상의 다음 자연 중독 피해 발생 시 스택이 감소하지 않는다. 피해는 정상 발생한다. 표식은 2턴 유지하고 1회 소모된다.</x:t>
  </x:si>
  <x:si>
    <x:t xml:space="preserve">M03, M25</x:t>
  </x:si>
  <x:si>
    <x:t xml:space="preserve">skill_v2_poison_05</x:t>
  </x:si>
  <x:si>
    <x:t xml:space="preserve">신경독</x:t>
  </x:si>
  <x:si>
    <x:t xml:space="preserve">스택 기반 약화</x:t>
  </x:si>
  <x:si>
    <x:t xml:space="preserve">중독된 적 하나의 공격력을 2턴 동안 감소시킨다. 감소율은 시전 시 중독 스택당 2%, 최대 30%.</x:t>
  </x:si>
  <x:si>
    <x:t xml:space="preserve">skill_v2_poison_06</x:t>
  </x:si>
  <x:si>
    <x:t xml:space="preserve">마비독</x:t>
  </x:si>
  <x:si>
    <x:t xml:space="preserve">조건부 제어</x:t>
  </x:si>
  <x:si>
    <x:t xml:space="preserve">중독 8스택 이상인 적 하나를 1턴 기절시킨다. 중독 스택은 소모하지 않는다.</x:t>
  </x:si>
  <x:si>
    <x:t xml:space="preserve">skill_v2_poison_07</x:t>
  </x:si>
  <x:si>
    <x:t xml:space="preserve">독성 이식</x:t>
  </x:si>
  <x:si>
    <x:t xml:space="preserve">대상 전환</x:t>
  </x:si>
  <x:si>
    <x:t xml:space="preserve">중독된 적 하나의 스택을 최대 5개 선택한 다른 적에게 이전한다. 원본에서 실제 제거한 양만 이전하며 대상별 상한으로 넘치는 스택은 원본에 남긴다.</x:t>
  </x:si>
  <x:si>
    <x:t xml:space="preserve">skill_v2_poison_08</x:t>
  </x:si>
  <x:si>
    <x:t xml:space="preserve">해독 반응</x:t>
  </x:si>
  <x:si>
    <x:t xml:space="preserve">회복 교환</x:t>
  </x:si>
  <x:si>
    <x:t xml:space="preserve">적 하나의 중독을 최대 4스택 소모하고 실제 소모한 스택당 자신의 체력을 3 회복한다. 최대 체력을 넘겨 회복하지 않는다.</x:t>
  </x:si>
  <x:si>
    <x:t xml:space="preserve">레벨당 소모 스택당 회복량 +1.</x:t>
  </x:si>
  <x:si>
    <x:t xml:space="preserve">skill_v2_poison_09</x:t>
  </x:si>
  <x:si>
    <x:t xml:space="preserve">치사 배양</x:t>
  </x:si>
  <x:si>
    <x:t xml:space="preserve">다음 피해 강화</x:t>
  </x:si>
  <x:si>
    <x:t xml:space="preserve">적 하나의 다음 자연 중독 피해 1회를 계산할 때 스택을 8개 더 가진 것으로 취급한다. 실제 스택은 늘지 않으며 피해 후 실제 스택만 1 감소한다.</x:t>
  </x:si>
  <x:si>
    <x:t xml:space="preserve">레벨당 계산용 추가 스택 +2.</x:t>
  </x:si>
  <x:si>
    <x:t xml:space="preserve">skill_v2_poison_10</x:t>
  </x:si>
  <x:si>
    <x:t xml:space="preserve">독성 촉진</x:t>
  </x:si>
  <x:si>
    <x:t xml:space="preserve">피해 가속</x:t>
  </x:si>
  <x:si>
    <x:t xml:space="preserve">중독된 적 하나에게 현재 중독 스택만큼 고정 피해를 즉시 1회 주고 1스택 감소시킨다. 자연 중독 피해 일정은 유지한다.</x:t>
  </x:si>
  <x:si>
    <x:t xml:space="preserve">M25</x:t>
  </x:si>
  <x:si>
    <x:t xml:space="preserve">skill_v2_poison_11</x:t>
  </x:si>
  <x:si>
    <x:t xml:space="preserve">잔류독</x:t>
  </x:si>
  <x:si>
    <x:t xml:space="preserve">종료 후 재부여</x:t>
  </x:si>
  <x:si>
    <x:t xml:space="preserve">적 하나에게 잔류독 표식을 4턴 부여한다. 중독의 자연 감소로 스택이 0이 되면 중독 3스택을 한 번 재부여하고 표식이 사라진다. 소비·이전으로 0이 되면 발동하지 않는다.</x:t>
  </x:si>
  <x:si>
    <x:t xml:space="preserve">skill_v2_poison_12</x:t>
  </x:si>
  <x:si>
    <x:t xml:space="preserve">독성 농축</x:t>
  </x:si>
  <x:si>
    <x:t xml:space="preserve">스택 집중</x:t>
  </x:si>
  <x:si>
    <x:t xml:space="preserve">지정 대상 외 적들의 중독 스택 절반을 버림해 지정 대상에게 이전한다. 스택 총량은 보존되며 지정 대상 상한에 도달하면 이전을 중단한다.</x:t>
  </x:si>
  <x:si>
    <x:t xml:space="preserve">skill_v2_poison_13</x:t>
  </x:si>
  <x:si>
    <x:t xml:space="preserve">독성 장막</x:t>
  </x:si>
  <x:si>
    <x:t xml:space="preserve">중독으로 방어</x:t>
  </x:si>
  <x:si>
    <x:t xml:space="preserve">생존 적 전체의 중독 스택 합계만큼 방어막을 얻는다. 기본 방어막 8을 추가하며 스택 기여 방어막은 최대 30. 중독 스택은 소모하지 않는다.</x:t>
  </x:si>
  <x:si>
    <x:t xml:space="preserve">레벨당 기본 방어막 +3. 스택 기여 상한 30 유지.</x:t>
  </x:si>
  <x:si>
    <x:t xml:space="preserve">skill_v2_poison_14</x:t>
  </x:si>
  <x:si>
    <x:t xml:space="preserve">역병의 고리</x:t>
  </x:si>
  <x:si>
    <x:t xml:space="preserve">처치 후 전이</x:t>
  </x:si>
  <x:si>
    <x:t xml:space="preserve">3턴 동안 중독된 적을 처치하면 그 적의 남은 중독 스택을 생존 적들에게 균등 분배한다. 나머지는 체력이 낮은 적부터 1개씩 부여한다. 전이 자체는 피해를 주지 않으며 처치당 1회.</x:t>
  </x:si>
  <x:si>
    <x:t xml:space="preserve">M14, M16</x:t>
  </x:si>
  <x:si>
    <x:t xml:space="preserve">skill_v2_poison_15</x:t>
  </x:si>
  <x:si>
    <x:t xml:space="preserve">동전 던지기</x:t>
  </x:si>
  <x:si>
    <x:t xml:space="preserve">기본 무작위</x:t>
  </x:si>
  <x:si>
    <x:t xml:space="preserve">동전을 굴려 적 하나에게 공격력의 50%+2 또는 공격력의 150%+2 피해를 준다. 두 결과는 각각 50% 확률이다.</x:t>
  </x:si>
  <x:si>
    <x:t xml:space="preserve">레벨당 두 결과의 기본 피해 +2.</x:t>
  </x:si>
  <x:si>
    <x:t xml:space="preserve">skill_v2_luck_01</x:t>
  </x:si>
  <x:si>
    <x:t xml:space="preserve">운명의 주사위</x:t>
  </x:si>
  <x:si>
    <x:t xml:space="preserve">큰 피해 편차</x:t>
  </x:si>
  <x:si>
    <x:t xml:space="preserve">주사위 1개를 굴린다. 적 하나에게 눈 수마다 공격력의 30% 피해와 기본 피해 2를 준다. 6이 나오면 다음 공격의 치명타 확률 +15%p.</x:t>
  </x:si>
  <x:si>
    <x:t xml:space="preserve">레벨당 기본 피해 +2.</x:t>
  </x:si>
  <x:si>
    <x:t xml:space="preserve">M26, M03</x:t>
  </x:si>
  <x:si>
    <x:t xml:space="preserve">skill_v2_luck_02</x:t>
  </x:si>
  <x:si>
    <x:t xml:space="preserve">요행의 일격</x:t>
  </x:si>
  <x:si>
    <x:t xml:space="preserve">치명타 도박</x:t>
  </x:si>
  <x:si>
    <x:t xml:space="preserve">적 하나에게 공격력의 80%+3 피해를 준다. 이 공격에 한해 기존 치명타 확률에 40%p를 더한다. 최종 치명타 확률은 100%를 넘지 않는다.</x:t>
  </x:si>
  <x:si>
    <x:t xml:space="preserve">skill_v2_luck_03</x:t>
  </x:si>
  <x:si>
    <x:t xml:space="preserve">행운 장전</x:t>
  </x:si>
  <x:si>
    <x:t xml:space="preserve">치명타 준비</x:t>
  </x:si>
  <x:si>
    <x:t xml:space="preserve">다음 3번의 직접 공격 타격에 치명타 확률 +20%p를 부여한다. 명중 여부와 관계없이 타격 시도마다 1회 소모하며 2턴 안에 사용한다.</x:t>
  </x:si>
  <x:si>
    <x:t xml:space="preserve">skill_v2_luck_04</x:t>
  </x:si>
  <x:si>
    <x:t xml:space="preserve">판돈 올리기</x:t>
  </x:si>
  <x:si>
    <x:t xml:space="preserve">변동 확대</x:t>
  </x:si>
  <x:si>
    <x:t xml:space="preserve">이번 턴 자신의 행운 무작위 공격은 피해 범위의 최저값이 30% 감소하고 최고값이 50% 증가한다. 다른 컨셉 공격과 지속 피해에는 적용하지 않는다.</x:t>
  </x:si>
  <x:si>
    <x:t xml:space="preserve">M26</x:t>
  </x:si>
  <x:si>
    <x:t xml:space="preserve">skill_v2_luck_05</x:t>
  </x:si>
  <x:si>
    <x:t xml:space="preserve">불운 적립</x:t>
  </x:si>
  <x:si>
    <x:t xml:space="preserve">최저 결과 보정</x:t>
  </x:si>
  <x:si>
    <x:t xml:space="preserve">3턴 동안 행운 무작위 공격에서 최저 결과가 나오면 불운 1회 적립, 최대 2회. 적립 1개를 자동 소모해 다음 행운 무작위 공격의 결과 하한을 한 단계 올린다.</x:t>
  </x:si>
  <x:si>
    <x:t xml:space="preserve">skill_v2_luck_06</x:t>
  </x:si>
  <x:si>
    <x:t xml:space="preserve">행운의 방패</x:t>
  </x:si>
  <x:si>
    <x:t xml:space="preserve">무작위 생존</x:t>
  </x:si>
  <x:si>
    <x:t xml:space="preserve">각각 50% 확률로 방어력+6 또는 방어력+22의 방어막을 얻는다. 낮은 결과가 나오면 다음 자신의 턴 시작에 방어막 6을 추가로 얻는다.</x:t>
  </x:si>
  <x:si>
    <x:t xml:space="preserve">레벨당 두 결과의 즉시 방어막 +3.</x:t>
  </x:si>
  <x:si>
    <x:t xml:space="preserve">M26, M20</x:t>
  </x:si>
  <x:si>
    <x:t xml:space="preserve">skill_v2_luck_07</x:t>
  </x:si>
  <x:si>
    <x:t xml:space="preserve">황금 손길</x:t>
  </x:si>
  <x:si>
    <x:t xml:space="preserve">재화 보상</x:t>
  </x:si>
  <x:si>
    <x:t xml:space="preserve">이번 전투 승리 시 기본 전투 재화 보상을 20% 추가로 얻는다. 기존 기본 재화에만 적용하며 다른 재화 보너스와 곱연산하지 않는다. 전투당 1회.</x:t>
  </x:si>
  <x:si>
    <x:t xml:space="preserve">M27</x:t>
  </x:si>
  <x:si>
    <x:t xml:space="preserve">skill_v2_luck_08</x:t>
  </x:si>
  <x:si>
    <x:t xml:space="preserve">보물의 예감</x:t>
  </x:si>
  <x:si>
    <x:t xml:space="preserve">보상 선택권</x:t>
  </x:si>
  <x:si>
    <x:t xml:space="preserve">이번 전투 승리 후 보상 후보가 1개 더 등장한다. 선택 가능한 보상 개수는 동일하다. 후보가 충분하지 않으면 존재하는 후보만 표시. 전투당 1회.</x:t>
  </x:si>
  <x:si>
    <x:t xml:space="preserve">skill_v2_luck_09</x:t>
  </x:si>
  <x:si>
    <x:t xml:space="preserve">잭팟 선언</x:t>
  </x:si>
  <x:si>
    <x:t xml:space="preserve">고급 보상 조건</x:t>
  </x:si>
  <x:si>
    <x:t xml:space="preserve">사용한 턴에 직접 공격 치명타를 2회 이상 적중시키고 전투에서 승리하면, 보상 후보 하나를 한 단계 높은 일반 등급 후보로 교체한다. 최고 전설까지이며 고유는 제외. 전투당 1회.</x:t>
  </x:si>
  <x:si>
    <x:t xml:space="preserve">M07, M27</x:t>
  </x:si>
  <x:si>
    <x:t xml:space="preserve">skill_v2_luck_10</x:t>
  </x:si>
  <x:si>
    <x:t xml:space="preserve">행운 재추첨</x:t>
  </x:si>
  <x:si>
    <x:t xml:space="preserve">무작위 보정</x:t>
  </x:si>
  <x:si>
    <x:t xml:space="preserve">2턴 이내 다음 행운 무작위 공격 스킬 1회는 결과를 두 번 굴려 더 높은 결과를 사용한다. 치명타와 명중 판정은 재추첨하지 않는다.</x:t>
  </x:si>
  <x:si>
    <x:t xml:space="preserve">M03, M26</x:t>
  </x:si>
  <x:si>
    <x:t xml:space="preserve">skill_v2_luck_11</x:t>
  </x:si>
  <x:si>
    <x:t xml:space="preserve">확률 저금</x:t>
  </x:si>
  <x:si>
    <x:t xml:space="preserve">치명타 실패 보정</x:t>
  </x:si>
  <x:si>
    <x:t xml:space="preserve">3턴 동안 직접 공격이 명중했지만 치명타가 아니면 저금 1회 적립, 최대 3회. 다음 직접 공격에 적립당 치명타 확률 +10%p 적용. 치명타 적중 시 적립을 모두 소모한다.</x:t>
  </x:si>
  <x:si>
    <x:t xml:space="preserve">M07, M12</x:t>
  </x:si>
  <x:si>
    <x:t xml:space="preserve">skill_v2_luck_12</x:t>
  </x:si>
  <x:si>
    <x:t xml:space="preserve">쌍주사위</x:t>
  </x:si>
  <x:si>
    <x:t xml:space="preserve">고점 단타</x:t>
  </x:si>
  <x:si>
    <x:t xml:space="preserve">주사위 2개를 굴려 눈 수 합계당 공격력의 20% 피해를 적 하나에게 준다. 같은 눈이 나오면 최종 피해가 50% 증가한다. 공격은 1회 판정한다.</x:t>
  </x:si>
  <x:si>
    <x:t xml:space="preserve">skill_v2_luck_13</x:t>
  </x:si>
  <x:si>
    <x:t xml:space="preserve">행운 보험</x:t>
  </x:si>
  <x:si>
    <x:t xml:space="preserve">생존 보정</x:t>
  </x:si>
  <x:si>
    <x:t xml:space="preserve">다음 몬스터 턴까지 직접 공격으로 치명적인 체력 피해를 받을 때 한 번만 체력 1로 생존한다. 지속 피해와 자해에는 적용되지 않으며 전투당 1회.</x:t>
  </x:si>
  <x:si>
    <x:t xml:space="preserve">M28</x:t>
  </x:si>
  <x:si>
    <x:t xml:space="preserve">skill_v2_luck_14</x:t>
  </x:si>
  <x:si>
    <x:t xml:space="preserve">운명 교환</x:t>
  </x:si>
  <x:si>
    <x:t xml:space="preserve">대가로 하한 상승</x:t>
  </x:si>
  <x:si>
    <x:t xml:space="preserve">자신의 현재 체력 20%를 방어막을 무시하고 소모한다. 이번 턴 행운 무작위 공격의 결과가 가능한 최고값의 70% 미만이면 그 하한까지 올린다. 현재 체력 2 이상 필요.</x:t>
  </x:si>
  <x:si>
    <x:t xml:space="preserve">M08, M26</x:t>
  </x:si>
  <x:si>
    <x:t xml:space="preserve">skill_v2_luck_15</x:t>
  </x:si>
  <x:si>
    <x:t xml:space="preserve">정전기</x:t>
  </x:si>
  <x:si>
    <x:t xml:space="preserve">적 하나에게 공격력의 40%+2 피해를 주고 감전 2스택을 부여한다. 이번 타격은 부여 전 감전 스택만 사용한다.</x:t>
  </x:si>
  <x:si>
    <x:t xml:space="preserve">레벨당 직접 피해 +2.</x:t>
  </x:si>
  <x:si>
    <x:t xml:space="preserve">M29</x:t>
  </x:si>
  <x:si>
    <x:t xml:space="preserve">skill_v2_shock_01</x:t>
  </x:si>
  <x:si>
    <x:t xml:space="preserve">고압 주입</x:t>
  </x:si>
  <x:si>
    <x:t xml:space="preserve">적 하나에게 감전 5스택을 부여한다. 직접 공격 피해는 없다.</x:t>
  </x:si>
  <x:si>
    <x:t xml:space="preserve">skill_v2_shock_02</x:t>
  </x:si>
  <x:si>
    <x:t xml:space="preserve">전류 살포</x:t>
  </x:si>
  <x:si>
    <x:t xml:space="preserve">적 전체에게 감전 2스택을 부여한다. 직접 공격 피해는 없다.</x:t>
  </x:si>
  <x:si>
    <x:t xml:space="preserve">skill_v2_shock_03</x:t>
  </x:si>
  <x:si>
    <x:t xml:space="preserve">도체 지정</x:t>
  </x:si>
  <x:si>
    <x:t xml:space="preserve">집중 공격</x:t>
  </x:si>
  <x:si>
    <x:t xml:space="preserve">적 하나에게 도체 표식을 2턴 부여한다. 그 적이 받는 감전 고정 추가 피해가 30% 증가한다. 감전 스택은 유지한다.</x:t>
  </x:si>
  <x:si>
    <x:t xml:space="preserve">M29, M30</x:t>
  </x:si>
  <x:si>
    <x:t xml:space="preserve">skill_v2_shock_04</x:t>
  </x:si>
  <x:si>
    <x:t xml:space="preserve">축전</x:t>
  </x:si>
  <x:si>
    <x:t xml:space="preserve">감전 중인 적 하나에게 감전 2스택을 추가하고, 다음 자연 감전 감소 1회를 막는다. 보존 효과는 중첩되지 않는다.</x:t>
  </x:si>
  <x:si>
    <x:t xml:space="preserve">skill_v2_shock_05</x:t>
  </x:si>
  <x:si>
    <x:t xml:space="preserve">신경 차단</x:t>
  </x:si>
  <x:si>
    <x:t xml:space="preserve">단일 기절</x:t>
  </x:si>
  <x:si>
    <x:t xml:space="preserve">감전 6스택 이상인 적 하나를 1턴 기절시킨다. 감전 스택을 소모하지 않는다.</x:t>
  </x:si>
  <x:si>
    <x:t xml:space="preserve">M22, M29</x:t>
  </x:si>
  <x:si>
    <x:t xml:space="preserve">skill_v2_shock_06</x:t>
  </x:si>
  <x:si>
    <x:t xml:space="preserve">감전 구속</x:t>
  </x:si>
  <x:si>
    <x:t xml:space="preserve">기절 연계</x:t>
  </x:si>
  <x:si>
    <x:t xml:space="preserve">기절 중인 적 하나에게 공격력의 70%+3 피해를 주고 감전 3스택을 추가한다. 기절 시간은 늘어나지 않는다.</x:t>
  </x:si>
  <x:si>
    <x:t xml:space="preserve">skill_v2_shock_07</x:t>
  </x:si>
  <x:si>
    <x:t xml:space="preserve">절연 파괴</x:t>
  </x:si>
  <x:si>
    <x:t xml:space="preserve">방어막 약화</x:t>
  </x:si>
  <x:si>
    <x:t xml:space="preserve">적 하나에게 2턴 동안 절연 파괴를 부여한다. 그 적의 방어막에 가하는 감전 추가 피해가 2배가 된다. 증가분은 방어막에만 적용하고 체력으로 넘치지 않는다.</x:t>
  </x:si>
  <x:si>
    <x:t xml:space="preserve">M02, M29, M30</x:t>
  </x:si>
  <x:si>
    <x:t xml:space="preserve">skill_v2_shock_08</x:t>
  </x:si>
  <x:si>
    <x:t xml:space="preserve">누전</x:t>
  </x:si>
  <x:si>
    <x:t xml:space="preserve">다수 연계</x:t>
  </x:si>
  <x:si>
    <x:t xml:space="preserve">2턴 동안 지정 대상에게 감전 추가 피해가 발생하면 다른 감전 적 하나에게 그 추가 피해의 50%를 전류 피해로 준다. 한 직접 타격당 1회이며 전달 피해는 감전을 재발동시키지 않는다.</x:t>
  </x:si>
  <x:si>
    <x:t xml:space="preserve">skill_v2_shock_09</x:t>
  </x:si>
  <x:si>
    <x:t xml:space="preserve">과전압</x:t>
  </x:si>
  <x:si>
    <x:t xml:space="preserve">집중 마무리</x:t>
  </x:si>
  <x:si>
    <x:t xml:space="preserve">이번 턴 지정 대상이 받는 다음 5회의 감전 고정 추가 피해가 2배가 된다. 스택은 소모하지 않는다. 감전 5스택 이상인 대상에게만 사용 가능.</x:t>
  </x:si>
  <x:si>
    <x:t xml:space="preserve">M03, M22, M29, M30</x:t>
  </x:si>
  <x:si>
    <x:t xml:space="preserve">skill_v2_shock_10</x:t>
  </x:si>
  <x:si>
    <x:t xml:space="preserve">낙뢰</x:t>
  </x:si>
  <x:si>
    <x:t xml:space="preserve">방어막 공격</x:t>
  </x:si>
  <x:si>
    <x:t xml:space="preserve">방어막이 있는 적 하나에게 공격력의 120%+5 피해와 방어막 전용 고정 피해 10을 준다. 명중 후 감전 3스택을 부여한다.</x:t>
  </x:si>
  <x:si>
    <x:t xml:space="preserve">레벨당 기본 피해 +3, 방어막 전용 피해 +2.</x:t>
  </x:si>
  <x:si>
    <x:t xml:space="preserve">M02, M29</x:t>
  </x:si>
  <x:si>
    <x:t xml:space="preserve">skill_v2_shock_11</x:t>
  </x:si>
  <x:si>
    <x:t xml:space="preserve">전하 분배</x:t>
  </x:si>
  <x:si>
    <x:t xml:space="preserve">스택 분산</x:t>
  </x:si>
  <x:si>
    <x:t xml:space="preserve">적 하나의 감전을 최대 6스택 떼어 다른 적들에게 균등 분배한다. 나머지는 체력이 낮은 적부터 부여하며 스택 총량은 보존한다. 다른 생존 적이 있어야 사용 가능.</x:t>
  </x:si>
  <x:si>
    <x:t xml:space="preserve">M16, M29</x:t>
  </x:si>
  <x:si>
    <x:t xml:space="preserve">skill_v2_shock_12</x:t>
  </x:si>
  <x:si>
    <x:t xml:space="preserve">전자 방벽</x:t>
  </x:si>
  <x:si>
    <x:t xml:space="preserve">방어·감전</x:t>
  </x:si>
  <x:si>
    <x:t xml:space="preserve">방어력+14의 방어막을 얻는다. 다음 몬스터 턴에 방어막으로 직접 공격을 막으면 공격자에게 감전 2스택을 부여한다. 공격자당 1회, 전체 최대 3회.</x:t>
  </x:si>
  <x:si>
    <x:t xml:space="preserve">M06, M29</x:t>
  </x:si>
  <x:si>
    <x:t xml:space="preserve">skill_v2_shock_13</x:t>
  </x:si>
  <x:si>
    <x:t xml:space="preserve">접지</x:t>
  </x:si>
  <x:si>
    <x:t xml:space="preserve">스택으로 정화</x:t>
  </x:si>
  <x:si>
    <x:t xml:space="preserve">적 하나의 감전 3스택을 소모하고 자신의 해제 가능한 디버프 중 남은 시간이 가장 긴 하나를 제거한다. 동률이면 먼저 부여된 효과부터 제거한다.</x:t>
  </x:si>
  <x:si>
    <x:t xml:space="preserve">M17, M29, M31</x:t>
  </x:si>
  <x:si>
    <x:t xml:space="preserve">skill_v2_shock_14</x:t>
  </x:si>
  <x:si>
    <x:t xml:space="preserve">뇌전 감옥</x:t>
  </x:si>
  <x:si>
    <x:t xml:space="preserve">광역 기절</x:t>
  </x:si>
  <x:si>
    <x:t xml:space="preserve">감전 8스택 이상인 적들을 각각 1턴 기절시키고, 감전 중인 적 전체에게 감전 2스택을 추가한다. 판정은 추가 전 스택 기준이며 기절 면역 대상도 스택은 받는다.</x:t>
  </x:si>
  <x:si>
    <x:t xml:space="preserve">skill_v2_shock_15</x:t>
  </x:si>
  <x:si>
    <x:t xml:space="preserve">name</x:t>
  </x:si>
  <x:si>
    <x:t xml:space="preserve">hitCount</x:t>
  </x:si>
  <x:si>
    <x:t xml:space="preserve">cooldown</x:t>
  </x:si>
  <x:si>
    <x:t xml:space="preserve">conditionJson</x:t>
  </x:si>
  <x:si>
    <x:t xml:space="preserve">description</x:t>
  </x:si>
  <x:si>
    <x:t xml:space="preserve">effectJson</x:t>
  </x:si>
  <x:si>
    <x:t xml:space="preserve">rewardEnabled</x:t>
  </x:si>
  <x:si>
    <x:t xml:space="preserve">type</x:t>
  </x:si>
  <x:si>
    <x:t xml:space="preserve">target</x:t>
  </x:si>
  <x:si>
    <x:t xml:space="preserve">baseValue</x:t>
  </x:si>
  <x:si>
    <x:t xml:space="preserve">difficultyBonus</x:t>
  </x:si>
  <x:si>
    <x:t xml:space="preserve">upgradeJson</x:t>
  </x:si>
  <x:si>
    <x:t xml:space="preserve">actionPointCost</x:t>
  </x:si>
  <x:si>
    <x:t xml:space="preserve">rarity</x:t>
  </x:si>
  <x:si>
    <x:t xml:space="preserve">tags</x:t>
  </x:si>
  <x:si>
    <x:t xml:space="preserve">attackEffect</x:t>
  </x:si>
  <x:si>
    <x:t xml:space="preserve">concept</x:t>
  </x:si>
  <x:si>
    <x:t xml:space="preserve">rarityLabel</x:t>
  </x:si>
  <x:si>
    <x:t xml:space="preserve">role</x:t>
  </x:si>
  <x:si>
    <x:t xml:space="preserve">proposalOrigin</x:t>
  </x:si>
  <x:si>
    <x:t xml:space="preserve">implementationStatus</x:t>
  </x:si>
  <x:si>
    <x:t xml:space="preserve">mechanicIds</x:t>
  </x:si>
  <x:si>
    <x:t xml:space="preserve">upgradeDesign</x:t>
  </x:si>
  <x:si>
    <x:t xml:space="preserve">rewardPlanned</x:t>
  </x:si>
  <x:si>
    <x:t xml:space="preserve">{}</x:t>
  </x:si>
  <x:si>
    <x:t xml:space="preserve">damage</x:t>
  </x:si>
  <x:si>
    <x:t xml:space="preserve">enemy</x:t>
  </x:si>
  <x:si>
    <x:t xml:space="preserve">common</x:t>
  </x:si>
  <x:si>
    <x:t xml:space="preserve">["strike","damage","기본기"]</x:t>
  </x:si>
  <x:si>
    <x:t xml:space="preserve">blunt</x:t>
  </x:si>
  <x:si>
    <x:t xml:space="preserve">["strike","damage","턴 내 연계"]</x:t>
  </x:si>
  <x:si>
    <x:t xml:space="preserve">uncommon</x:t>
  </x:si>
  <x:si>
    <x:t xml:space="preserve">["strike","damage","타수 성장"]</x:t>
  </x:si>
  <x:si>
    <x:t xml:space="preserve">["strike","damage","방어막 파괴"]</x:t>
  </x:si>
  <x:si>
    <x:t xml:space="preserve">randomEnemies</x:t>
  </x:si>
  <x:si>
    <x:t xml:space="preserve">rare</x:t>
  </x:si>
  <x:si>
    <x:t xml:space="preserve">["strike","damage","다수 대응"]</x:t>
  </x:si>
  <x:si>
    <x:t xml:space="preserve">shield</x:t>
  </x:si>
  <x:si>
    <x:t xml:space="preserve">self</x:t>
  </x:si>
  <x:si>
    <x:t xml:space="preserve">["strike","shield","방어·연계"]</x:t>
  </x:si>
  <x:si>
    <x:t xml:space="preserve">{"notUpgradable":true}</x:t>
  </x:si>
  <x:si>
    <x:t xml:space="preserve">buff</x:t>
  </x:si>
  <x:si>
    <x:t xml:space="preserve">["strike","buff","행동력 회복"]</x:t>
  </x:si>
  <x:si>
    <x:t xml:space="preserve">M01,M04</x:t>
  </x:si>
  <x:si>
    <x:t xml:space="preserve">["strike","damage","쿨타임 순환"]</x:t>
  </x:si>
  <x:si>
    <x:t xml:space="preserve">epic</x:t>
  </x:si>
  <x:si>
    <x:t xml:space="preserve">["strike","damage","전투 누적"]</x:t>
  </x:si>
  <x:si>
    <x:t xml:space="preserve">legendary</x:t>
  </x:si>
  <x:si>
    <x:t xml:space="preserve">["strike","damage","턴 마무리"]</x:t>
  </x:si>
  <x:si>
    <x:t xml:space="preserve">["strike","damage","공격 약화"]</x:t>
  </x:si>
  <x:si>
    <x:t xml:space="preserve">all</x:t>
  </x:si>
  <x:si>
    <x:t xml:space="preserve">["strike","damage","광역 기본기"]</x:t>
  </x:si>
  <x:si>
    <x:t xml:space="preserve">["strike","shield","방어 반격"]</x:t>
  </x:si>
  <x:si>
    <x:t xml:space="preserve">unique</x:t>
  </x:si>
  <x:si>
    <x:t xml:space="preserve">["strike","buff","턴 연계 규칙"]</x:t>
  </x:si>
  <x:si>
    <x:t xml:space="preserve">{"perBattleLimit":1}</x:t>
  </x:si>
  <x:si>
    <x:t xml:space="preserve">["strike","damage","전투 마무리"]</x:t>
  </x:si>
  <x:si>
    <x:t xml:space="preserve">["assassin","damage","선제 공격"]</x:t>
  </x:si>
  <x:si>
    <x:t xml:space="preserve">slash</x:t>
  </x:si>
  <x:si>
    <x:t xml:space="preserve">["assassin","damage","처형"]</x:t>
  </x:si>
  <x:si>
    <x:t xml:space="preserve">["assassin","damage","저체력 단타"]</x:t>
  </x:si>
  <x:si>
    <x:t xml:space="preserve">["assassin","damage","자해 단타"]</x:t>
  </x:si>
  <x:si>
    <x:t xml:space="preserve">["assassin","damage","공격 후 위험"]</x:t>
  </x:si>
  <x:si>
    <x:t xml:space="preserve">["assassin","buff","회피"]</x:t>
  </x:si>
  <x:si>
    <x:t xml:space="preserve">debuff</x:t>
  </x:si>
  <x:si>
    <x:t xml:space="preserve">["assassin","debuff","표적 준비"]</x:t>
  </x:si>
  <x:si>
    <x:t xml:space="preserve">["assassin","damage","공격·회피"]</x:t>
  </x:si>
  <x:si>
    <x:t xml:space="preserve">["assassin","buff","회피 보상"]</x:t>
  </x:si>
  <x:si>
    <x:t xml:space="preserve">M03,M10</x:t>
  </x:si>
  <x:si>
    <x:t xml:space="preserve">["assassin","damage","결전"]</x:t>
  </x:si>
  <x:si>
    <x:t xml:space="preserve">["assassin","debuff","위험한 준비"]</x:t>
  </x:si>
  <x:si>
    <x:t xml:space="preserve">M09,M11</x:t>
  </x:si>
  <x:si>
    <x:t xml:space="preserve">["assassin","damage","회피 대응"]</x:t>
  </x:si>
  <x:si>
    <x:t xml:space="preserve">{"targetMode":"allEnemies","applyEffects":[{"effectId":"effect_v2_accuracy_down","target":"allEnemies","chance":100,"value":-25,"durationTurns":1,"stacks":1},{"effectId":"effect_v2_evasion_up","target":"self","chance":100,"value":15,"durationTurns":1,"stacks":1}]}</x:t>
  </x:si>
  <x:si>
    <x:t xml:space="preserve">["assassin","debuff","다수 회피"]</x:t>
  </x:si>
  <x:si>
    <x:t xml:space="preserve">["assassin","buff","방어 포기"]</x:t>
  </x:si>
  <x:si>
    <x:t xml:space="preserve">M03,M13</x:t>
  </x:si>
  <x:si>
    <x:t xml:space="preserve">["assassin","damage","처치 도박"]</x:t>
  </x:si>
  <x:si>
    <x:t xml:space="preserve">M08,M14</x:t>
  </x:si>
  <x:si>
    <x:t xml:space="preserve">["burn","damage","단일 시동"]</x:t>
  </x:si>
  <x:si>
    <x:t xml:space="preserve">fire</x:t>
  </x:si>
  <x:si>
    <x:t xml:space="preserve">{"targetMode":"allEnemies","damageFormula":"attack*0.25+1+1*n","applyEffects":[{"effectId":"effect_v2_burn","target":"allEnemies","chance":100,"value":1,"durationTurns":0,"stacks":1}]}</x:t>
  </x:si>
  <x:si>
    <x:t xml:space="preserve">["burn","damage","광역 시동"]</x:t>
  </x:si>
  <x:si>
    <x:t xml:space="preserve">{"targetMode":"singleEnemy","requireCondition":{"targetEffects":["effect_v2_burn"]},"applyEffects":[{"effectId":"effect_v2_burn","target":"enemy","chance":100,"value":1,"durationTurns":0,"stacks":3}]}</x:t>
  </x:si>
  <x:si>
    <x:t xml:space="preserve">["burn","debuff","집중 누적"]</x:t>
  </x:si>
  <x:si>
    <x:t xml:space="preserve">["burn","debuff","폭발 준비"]</x:t>
  </x:si>
  <x:si>
    <x:t xml:space="preserve">M03,M15</x:t>
  </x:si>
  <x:si>
    <x:t xml:space="preserve">["burn","debuff","스택 확산"]</x:t>
  </x:si>
  <x:si>
    <x:t xml:space="preserve">["burn","shield","스택으로 방어"]</x:t>
  </x:si>
  <x:si>
    <x:t xml:space="preserve">["burn","debuff","지속 피해 강화"]</x:t>
  </x:si>
  <x:si>
    <x:t xml:space="preserve">M03,M18</x:t>
  </x:si>
  <x:si>
    <x:t xml:space="preserve">["burn","damage","부분 스택 소모"]</x:t>
  </x:si>
  <x:si>
    <x:t xml:space="preserve">M15,M17</x:t>
  </x:si>
  <x:si>
    <x:t xml:space="preserve">["burn","damage","광역 폭발"]</x:t>
  </x:si>
  <x:si>
    <x:t xml:space="preserve">["burn","buff","처치 확산"]</x:t>
  </x:si>
  <x:si>
    <x:t xml:space="preserve">M14,M18</x:t>
  </x:si>
  <x:si>
    <x:t xml:space="preserve">["burn","debuff","지속 약화"]</x:t>
  </x:si>
  <x:si>
    <x:t xml:space="preserve">["burn","damage","다단 시동"]</x:t>
  </x:si>
  <x:si>
    <x:t xml:space="preserve">["burn","buff","지속 광역"]</x:t>
  </x:si>
  <x:si>
    <x:t xml:space="preserve">["burn","shield","방어 반응"]</x:t>
  </x:si>
  <x:si>
    <x:t xml:space="preserve">["burn","buff","폭발 후 복구"]</x:t>
  </x:si>
  <x:si>
    <x:t xml:space="preserve">["frost","damage","냉기 기본기"]</x:t>
  </x:si>
  <x:si>
    <x:t xml:space="preserve">none</x:t>
  </x:si>
  <x:si>
    <x:t xml:space="preserve">{"targetMode":"allEnemies","applyEffects":[{"effectId":"effect_v2_chill","target":"allEnemies","chance":100,"value":1,"stacks":2}]}</x:t>
  </x:si>
  <x:si>
    <x:t xml:space="preserve">["frost","debuff","광역 냉기"]</x:t>
  </x:si>
  <x:si>
    <x:t xml:space="preserve">{"targetMode":"singleEnemy","applyEffects":[{"effectId":"effect_v2_chill","target":"enemy","chance":100,"value":1,"stacks":4}]}</x:t>
  </x:si>
  <x:si>
    <x:t xml:space="preserve">["frost","debuff","집중 축적"]</x:t>
  </x:si>
  <x:si>
    <x:t xml:space="preserve">{"targetMode":"allEnemies","applyEffects":[{"effectId":"effect_v2_chill","target":"allEnemies","chance":100,"value":1,"stacks":1},{"effectId":"effect_v2_accuracy_down","target":"allEnemies","value":-15,"durationTurns":2,"chance":100}]}</x:t>
  </x:si>
  <x:si>
    <x:t xml:space="preserve">["frost","debuff","광역 방어 약화"]</x:t>
  </x:si>
  <x:si>
    <x:t xml:space="preserve">["frost","damage","단일 냉동"]</x:t>
  </x:si>
  <x:si>
    <x:t xml:space="preserve">M21,M22,M23</x:t>
  </x:si>
  <x:si>
    <x:t xml:space="preserve">{"targetMode":"self","shieldFormula":"defense*2+20+4*n"}</x:t>
  </x:si>
  <x:si>
    <x:t xml:space="preserve">["frost","shield","큰 방어막"]</x:t>
  </x:si>
  <x:si>
    <x:t xml:space="preserve">["frost","shield","방어 반응 냉기"]</x:t>
  </x:si>
  <x:si>
    <x:t xml:space="preserve">["frost","debuff","집중 냉동"]</x:t>
  </x:si>
  <x:si>
    <x:t xml:space="preserve">M21,M22</x:t>
  </x:si>
  <x:si>
    <x:t xml:space="preserve">["frost","damage","빙결 파괴 단타"]</x:t>
  </x:si>
  <x:si>
    <x:t xml:space="preserve">["frost","debuff","광역 빙결 파괴"]</x:t>
  </x:si>
  <x:si>
    <x:t xml:space="preserve">M21,M23</x:t>
  </x:si>
  <x:si>
    <x:t xml:space="preserve">["frost","shield","방어·순환"]</x:t>
  </x:si>
  <x:si>
    <x:t xml:space="preserve">["frost","shield","광역 축적·방어"]</x:t>
  </x:si>
  <x:si>
    <x:t xml:space="preserve">M24,M32</x:t>
  </x:si>
  <x:si>
    <x:t xml:space="preserve">{"perBattleLimit":1,"notUpgradable":true}</x:t>
  </x:si>
  <x:si>
    <x:t xml:space="preserve">["frost","buff","자기 빙결·무적"]</x:t>
  </x:si>
  <x:si>
    <x:t xml:space="preserve">M24,M33</x:t>
  </x:si>
  <x:si>
    <x:t xml:space="preserve">["frost","debuff","광역 냉동 결전"]</x:t>
  </x:si>
  <x:si>
    <x:t xml:space="preserve">{"targetMode":"singleEnemy","damageFormula":"attack*0.35+2+1*n","applyEffects":[{"effectId":"effect_v2_poison","target":"enemy","chance":100,"value":1,"durationTurns":0,"stacks":2}]}</x:t>
  </x:si>
  <x:si>
    <x:t xml:space="preserve">["poison","damage","기본 시동"]</x:t>
  </x:si>
  <x:si>
    <x:t xml:space="preserve">{"targetMode":"singleEnemy","applyEffects":[{"effectId":"effect_v2_poison","target":"enemy","chance":100,"value":1,"durationTurns":0,"stacks":5}]}</x:t>
  </x:si>
  <x:si>
    <x:t xml:space="preserve">["poison","debuff","집중 누적"]</x:t>
  </x:si>
  <x:si>
    <x:t xml:space="preserve">{"targetMode":"allEnemies","applyEffects":[{"effectId":"effect_v2_poison","target":"allEnemies","chance":100,"value":1,"durationTurns":0,"stacks":3}]}</x:t>
  </x:si>
  <x:si>
    <x:t xml:space="preserve">["poison","debuff","광역 시동"]</x:t>
  </x:si>
  <x:si>
    <x:t xml:space="preserve">["poison","debuff","조건부 누적"]</x:t>
  </x:si>
  <x:si>
    <x:t xml:space="preserve">["poison","debuff","스택 유지"]</x:t>
  </x:si>
  <x:si>
    <x:t xml:space="preserve">M03,M25</x:t>
  </x:si>
  <x:si>
    <x:t xml:space="preserve">["poison","debuff","스택 기반 약화"]</x:t>
  </x:si>
  <x:si>
    <x:t xml:space="preserve">["poison","debuff","조건부 제어"]</x:t>
  </x:si>
  <x:si>
    <x:t xml:space="preserve">["poison","debuff","대상 전환"]</x:t>
  </x:si>
  <x:si>
    <x:t xml:space="preserve">heal</x:t>
  </x:si>
  <x:si>
    <x:t xml:space="preserve">["poison","heal","회복 교환"]</x:t>
  </x:si>
  <x:si>
    <x:t xml:space="preserve">["poison","debuff","다음 피해 강화"]</x:t>
  </x:si>
  <x:si>
    <x:t xml:space="preserve">["poison","debuff","피해 가속"]</x:t>
  </x:si>
  <x:si>
    <x:t xml:space="preserve">["poison","debuff","종료 후 재부여"]</x:t>
  </x:si>
  <x:si>
    <x:t xml:space="preserve">["poison","debuff","스택 집중"]</x:t>
  </x:si>
  <x:si>
    <x:t xml:space="preserve">["poison","shield","중독으로 방어"]</x:t>
  </x:si>
  <x:si>
    <x:t xml:space="preserve">["poison","buff","처치 후 전이"]</x:t>
  </x:si>
  <x:si>
    <x:t xml:space="preserve">M14,M16</x:t>
  </x:si>
  <x:si>
    <x:t xml:space="preserve">{"targetMode":"singleEnemy","damageFormula":"attack*(1d2-0.5)+2+2*n"}</x:t>
  </x:si>
  <x:si>
    <x:t xml:space="preserve">["luck","damage","기본 무작위"]</x:t>
  </x:si>
  <x:si>
    <x:t xml:space="preserve">["luck","damage","큰 피해 편차"]</x:t>
  </x:si>
  <x:si>
    <x:t xml:space="preserve">M26,M03</x:t>
  </x:si>
  <x:si>
    <x:t xml:space="preserve">["luck","damage","치명타 도박"]</x:t>
  </x:si>
  <x:si>
    <x:t xml:space="preserve">["luck","buff","치명타 준비"]</x:t>
  </x:si>
  <x:si>
    <x:t xml:space="preserve">["luck","buff","변동 확대"]</x:t>
  </x:si>
  <x:si>
    <x:t xml:space="preserve">["luck","buff","최저 결과 보정"]</x:t>
  </x:si>
  <x:si>
    <x:t xml:space="preserve">["luck","shield","무작위 생존"]</x:t>
  </x:si>
  <x:si>
    <x:t xml:space="preserve">M26,M20</x:t>
  </x:si>
  <x:si>
    <x:t xml:space="preserve">["luck","buff","재화 보상"]</x:t>
  </x:si>
  <x:si>
    <x:t xml:space="preserve">["luck","buff","보상 선택권"]</x:t>
  </x:si>
  <x:si>
    <x:t xml:space="preserve">["luck","buff","고급 보상 조건"]</x:t>
  </x:si>
  <x:si>
    <x:t xml:space="preserve">M07,M27</x:t>
  </x:si>
  <x:si>
    <x:t xml:space="preserve">["luck","buff","무작위 보정"]</x:t>
  </x:si>
  <x:si>
    <x:t xml:space="preserve">M03,M26</x:t>
  </x:si>
  <x:si>
    <x:t xml:space="preserve">["luck","buff","치명타 실패 보정"]</x:t>
  </x:si>
  <x:si>
    <x:t xml:space="preserve">M07,M12</x:t>
  </x:si>
  <x:si>
    <x:t xml:space="preserve">["luck","damage","고점 단타"]</x:t>
  </x:si>
  <x:si>
    <x:t xml:space="preserve">["luck","buff","생존 보정"]</x:t>
  </x:si>
  <x:si>
    <x:t xml:space="preserve">["luck","buff","대가로 하한 상승"]</x:t>
  </x:si>
  <x:si>
    <x:t xml:space="preserve">M08,M26</x:t>
  </x:si>
  <x:si>
    <x:t xml:space="preserve">["shock","damage","기본 시동"]</x:t>
  </x:si>
  <x:si>
    <x:t xml:space="preserve">["shock","debuff","집중 누적"]</x:t>
  </x:si>
  <x:si>
    <x:t xml:space="preserve">["shock","debuff","광역 시동"]</x:t>
  </x:si>
  <x:si>
    <x:t xml:space="preserve">["shock","debuff","집중 공격"]</x:t>
  </x:si>
  <x:si>
    <x:t xml:space="preserve">M29,M30</x:t>
  </x:si>
  <x:si>
    <x:t xml:space="preserve">["shock","debuff","스택 유지"]</x:t>
  </x:si>
  <x:si>
    <x:t xml:space="preserve">["shock","debuff","단일 기절"]</x:t>
  </x:si>
  <x:si>
    <x:t xml:space="preserve">M22,M29</x:t>
  </x:si>
  <x:si>
    <x:t xml:space="preserve">["shock","damage","기절 연계"]</x:t>
  </x:si>
  <x:si>
    <x:t xml:space="preserve">["shock","debuff","방어막 약화"]</x:t>
  </x:si>
  <x:si>
    <x:t xml:space="preserve">M02,M29,M30</x:t>
  </x:si>
  <x:si>
    <x:t xml:space="preserve">["shock","debuff","다수 연계"]</x:t>
  </x:si>
  <x:si>
    <x:t xml:space="preserve">["shock","debuff","집중 마무리"]</x:t>
  </x:si>
  <x:si>
    <x:t xml:space="preserve">M03,M22,M29,M30</x:t>
  </x:si>
  <x:si>
    <x:t xml:space="preserve">["shock","damage","방어막 공격"]</x:t>
  </x:si>
  <x:si>
    <x:t xml:space="preserve">M02,M29</x:t>
  </x:si>
  <x:si>
    <x:t xml:space="preserve">["shock","debuff","스택 분산"]</x:t>
  </x:si>
  <x:si>
    <x:t xml:space="preserve">M16,M29</x:t>
  </x:si>
  <x:si>
    <x:t xml:space="preserve">["shock","shield","방어·감전"]</x:t>
  </x:si>
  <x:si>
    <x:t xml:space="preserve">M06,M29</x:t>
  </x:si>
  <x:si>
    <x:t xml:space="preserve">["shock","buff","스택으로 정화"]</x:t>
  </x:si>
  <x:si>
    <x:t xml:space="preserve">M17,M29,M31</x:t>
  </x:si>
  <x:si>
    <x:t xml:space="preserve">["shock","debuff","광역 기절"]</x:t>
  </x:si>
  <x:si>
    <x:t xml:space="preserve">effectId</x:t>
  </x:si>
  <x:si>
    <x:t xml:space="preserve">category</x:t>
  </x:si>
  <x:si>
    <x:t xml:space="preserve">durationType</x:t>
  </x:si>
  <x:si>
    <x:t xml:space="preserve">durationTurns</x:t>
  </x:si>
  <x:si>
    <x:t xml:space="preserve">stackMode</x:t>
  </x:si>
  <x:si>
    <x:t xml:space="preserve">maxStacks</x:t>
  </x:si>
  <x:si>
    <x:t xml:space="preserve">reapplyDurationPolicy</x:t>
  </x:si>
  <x:si>
    <x:t xml:space="preserve">durationClock</x:t>
  </x:si>
  <x:si>
    <x:t xml:space="preserve">decayTiming</x:t>
  </x:si>
  <x:si>
    <x:t xml:space="preserve">decayStacks</x:t>
  </x:si>
  <x:si>
    <x:t xml:space="preserve">decrementOnApplyTurn</x:t>
  </x:si>
  <x:si>
    <x:t xml:space="preserve">rulesVersion</x:t>
  </x:si>
  <x:si>
    <x:t xml:space="preserve">statKey</x:t>
  </x:si>
  <x:si>
    <x:t xml:space="preserve">effectType</x:t>
  </x:si>
  <x:si>
    <x:t xml:space="preserve">value</x:t>
  </x:si>
  <x:si>
    <x:t xml:space="preserve">stackable</x:t>
  </x:si>
  <x:si>
    <x:t xml:space="preserve">triggerTiming</x:t>
  </x:si>
  <x:si>
    <x:t xml:space="preserve">damageFormula</x:t>
  </x:si>
  <x:si>
    <x:t xml:space="preserve">effect_v2_burn</x:t>
  </x:si>
  <x:si>
    <x:t xml:space="preserve">turn</x:t>
  </x:si>
  <x:si>
    <x:t xml:space="preserve">add</x:t>
  </x:si>
  <x:si>
    <x:t xml:space="preserve">refresh</x:t>
  </x:si>
  <x:si>
    <x:t xml:space="preserve">stacks</x:t>
  </x:si>
  <x:si>
    <x:t xml:space="preserve">onTrigger</x:t>
  </x:si>
  <x:si>
    <x:t xml:space="preserve">몬스터 턴 시작 직전 현재 스택당 최대 체력의 1% 피해. 방어막이 먼저 흡수하고 1스택 감소.</x:t>
  </x:si>
  <x:si>
    <x:t xml:space="preserve">hp</x:t>
  </x:si>
  <x:si>
    <x:t xml:space="preserve">flat</x:t>
  </x:si>
  <x:si>
    <x:t xml:space="preserve">beforeMonsterTurn</x:t>
  </x:si>
  <x:si>
    <x:t xml:space="preserve">maxHp*stacks*value/100</x:t>
  </x:si>
  <x:si>
    <x:t xml:space="preserve">effect_v2_poison</x:t>
  </x:si>
  <x:si>
    <x:t xml:space="preserve">다음 자신의 턴 시작에 현재 스택만큼 고정 피해를 주고 1스택 감소. 방어막을 우회. 7스택 총피해는 28.</x:t>
  </x:si>
  <x:si>
    <x:t xml:space="preserve">turnStart</x:t>
  </x:si>
  <x:si>
    <x:t xml:space="preserve">stacks*value</x:t>
  </x:si>
  <x:si>
    <x:t xml:space="preserve">effect_v2_weak</x:t>
  </x:si>
  <x:si>
    <x:t xml:space="preserve">약화</x:t>
  </x:si>
  <x:si>
    <x:t xml:space="preserve">replace</x:t>
  </x:si>
  <x:si>
    <x:t xml:space="preserve">turns</x:t>
  </x:si>
  <x:si>
    <x:t xml:space="preserve">공격력 감소. 같은 효과를 재부여하면 지속시간만 갱신.</x:t>
  </x:si>
  <x:si>
    <x:t xml:space="preserve">attack</x:t>
  </x:si>
  <x:si>
    <x:t xml:space="preserve">percent</x:t>
  </x:si>
  <x:si>
    <x:t xml:space="preserve">passive</x:t>
  </x:si>
  <x:si>
    <x:t xml:space="preserve">effect_v2_accuracy_down</x:t>
  </x:si>
  <x:si>
    <x:t xml:space="preserve">명중 저하</x:t>
  </x:si>
  <x:si>
    <x:t xml:space="preserve">명중률을 값만큼 %p 감소.</x:t>
  </x:si>
  <x:si>
    <x:t xml:space="preserve">accuracy</x:t>
  </x:si>
  <x:si>
    <x:t xml:space="preserve">effect_v2_evasion_up</x:t>
  </x:si>
  <x:si>
    <x:t xml:space="preserve">회피 상승</x:t>
  </x:si>
  <x:si>
    <x:t xml:space="preserve">회피율을 값만큼 %p 증가.</x:t>
  </x:si>
  <x:si>
    <x:t xml:space="preserve">evasion</x:t>
  </x:si>
  <x:si>
    <x:t xml:space="preserve">effect_v2_critical_up</x:t>
  </x:si>
  <x:si>
    <x:t xml:space="preserve">치명타 확률 상승</x:t>
  </x:si>
  <x:si>
    <x:t xml:space="preserve">치명타 확률을 값만큼 %p 증가. 횟수 소모는 확장 명세에서 처리.</x:t>
  </x:si>
  <x:si>
    <x:t xml:space="preserve">criticalRate</x:t>
  </x:si>
  <x:si>
    <x:t xml:space="preserve">effect_v2_chill</x:t>
  </x:si>
  <x:si>
    <x:t xml:space="preserve">냉기</x:t>
  </x:si>
  <x:si>
    <x:t xml:space="preserve">stage</x:t>
  </x:si>
  <x:si>
    <x:t xml:space="preserve">keep</x:t>
  </x:si>
  <x:si>
    <x:t xml:space="preserve">스택당 회피율 5%p, 방어력 1 감소. 최대 20스택, 이번 전투 동안 유지. 빙결 해제와 별도로 유지하며 자동 빙결·자연 감소하지 않는다.</x:t>
  </x:si>
  <x:si>
    <x:t xml:space="preserve">ruleOrder</x:t>
  </x:si>
  <x:si>
    <x:t xml:space="preserve">operation</x:t>
  </x:si>
  <x:si>
    <x:t xml:space="preserve">valueMode</x:t>
  </x:si>
  <x:si>
    <x:t xml:space="preserve">valueFormula</x:t>
  </x:si>
  <x:si>
    <x:t xml:space="preserve">shieldPolicy</x:t>
  </x:si>
  <x:si>
    <x:t xml:space="preserve">absorb</x:t>
  </x:si>
  <x:si>
    <x:t xml:space="preserve">bypass</x:t>
  </x:si>
  <x:si>
    <x:t xml:space="preserve">modifyStat</x:t>
  </x:si>
  <x:si>
    <x:t xml:space="preserve">-5*value*stacks</x:t>
  </x:si>
  <x:si>
    <x:t xml:space="preserve">스택당 회피율 5%p 감소. 기존 확률 판정에서 최종 명중률을 제한.</x:t>
  </x:si>
  <x:si>
    <x:t xml:space="preserve">defense</x:t>
  </x:si>
  <x:si>
    <x:t xml:space="preserve">-value*stacks</x:t>
  </x:si>
  <x:si>
    <x:t xml:space="preserve">스택당 방어력 1 감소. 방어막 생성량 감소로 연결.</x:t>
  </x:si>
  <x:si>
    <x:t xml:space="preserve">명세 ID</x:t>
  </x:si>
  <x:si>
    <x:t xml:space="preserve">기능</x:t>
  </x:si>
  <x:si>
    <x:t xml:space="preserve">발동 시점</x:t>
  </x:si>
  <x:si>
    <x:t xml:space="preserve">동작 규칙</x:t>
  </x:si>
  <x:si>
    <x:t xml:space="preserve">현행과의 차이</x:t>
  </x:si>
  <x:si>
    <x:t xml:space="preserve">관련 스킬</x:t>
  </x:si>
  <x:si>
    <x:t xml:space="preserve">타격 연계 집계</x:t>
  </x:si>
  <x:si>
    <x:t xml:space="preserve">직접 공격형 타격 스킬 사용 완료</x:t>
  </x:si>
  <x:si>
    <x:t xml:space="preserve">턴/전투 사용 횟수, 서로 다른 skillId 수, 상한·초기화·보존분을 구분한다. 유틸리티는 타격 공격 집계에서 제외한다.</x:t>
  </x:si>
  <x:si>
    <x:t xml:space="preserve">현재 태그 사용 횟수는 있으나 서로 다른 스킬·상한·초기화와 조건 분기 확장이 필요.</x:t>
  </x:si>
  <x:si>
    <x:t xml:space="preserve">잇기, 가속 연타, 호흡 정돈, 몰아치기, 백열연무, 연계 보존, 천수난무</x:t>
  </x:si>
  <x:si>
    <x:t xml:space="preserve">방어막 전용 추가 피해</x:t>
  </x:si>
  <x:si>
    <x:t xml:space="preserve">명중 후 방어막 정산</x:t>
  </x:si>
  <x:si>
    <x:t xml:space="preserve">일반 피해와 전용 추가분을 나눠 처리한다. 전용 추가분의 남은 피해는 체력으로 넘치지 않는다.</x:t>
  </x:si>
  <x:si>
    <x:t xml:space="preserve">enemyShield 변수만으로 같은 행동의 조건부 방어막 전용 피해를 완전히 표현할 수 없음.</x:t>
  </x:si>
  <x:si>
    <x:t xml:space="preserve">철갑 두드리기, 절연 파괴, 낙뢰</x:t>
  </x:si>
  <x:si>
    <x:t xml:space="preserve">횟수 제한 강화·표식</x:t>
  </x:si>
  <x:si>
    <x:t xml:space="preserve">다음 적합 공격 또는 상태 피해</x:t>
  </x:si>
  <x:si>
    <x:t xml:space="preserve">소스·대상·태그·피해 종류를 확인해 1회/정해진 횟수만 적용하고 소모한다. 만료와 소모 순서를 명시한다.</x:t>
  </x:si>
  <x:si>
    <x:t xml:space="preserve">현행 tagBonus는 다음 1회 소모형이 아니므로 별도 횟수 처리가 필요.</x:t>
  </x:si>
  <x:si>
    <x:t xml:space="preserve">유수의 자세, 허점 읽기, 재습격, 배수의 각오, 도화선, 연소 촉진, 재점화, 독성 보존, 치사 배양, 운명의 주사위, 행운 장전, 행운 재추첨, 과전압</x:t>
  </x:si>
  <x:si>
    <x:t xml:space="preserve">M04</x:t>
  </x:si>
  <x:si>
    <x:t xml:space="preserve">턴당 사용 제한</x:t>
  </x:si>
  <x:si>
    <x:t xml:space="preserve">사용 전 조건</x:t>
  </x:si>
  <x:si>
    <x:t xml:space="preserve">전투당 횟수와 별개로 턴별 skillId 사용 수를 검사한다. 행동력 회복은 최대 행동력까지만 적용.</x:t>
  </x:si>
  <x:si>
    <x:t xml:space="preserve">현행 perBattleLimit만으로 턴당 1회 조건을 대체하지 않음.</x:t>
  </x:si>
  <x:si>
    <x:t xml:space="preserve">스킬 선택 쿨타임 조정</x:t>
  </x:si>
  <x:si>
    <x:t xml:space="preserve">사용 후</x:t>
  </x:si>
  <x:si>
    <x:t xml:space="preserve">플레이어가 다른 보유 스킬을 선택한다. 컨셉 태그와 현재 쿨타임&gt;0을 검사한다.</x:t>
  </x:si>
  <x:si>
    <x:t xml:space="preserve">현행 지정 skillId/무작위 스킬 감소는 있으나 사용 시 보조 선택과 태그 필터 UI가 필요.</x:t>
  </x:si>
  <x:si>
    <x:t xml:space="preserve">박자 전환, 냉각 순환</x:t>
  </x:si>
  <x:si>
    <x:t xml:space="preserve">제한 있는 방어 반응</x:t>
  </x:si>
  <x:si>
    <x:t xml:space="preserve">몬스터 직접 공격이 방어막을 소모한 후</x:t>
  </x:si>
  <x:si>
    <x:t xml:space="preserve">원래 공격자를 대상으로 발동한다. 공격자별·전체 발동 한도를 기록하며 반격은 재귀 반응하지 않는다.</x:t>
  </x:si>
  <x:si>
    <x:t xml:space="preserve">onBlock 기본 트리거는 있으나 발동 횟수·공격자별 제한과 반격 타수 처리가 필요.</x:t>
  </x:si>
  <x:si>
    <x:t xml:space="preserve">반격 연타, 역화, 서리 갑주, 전자 방벽</x:t>
  </x:si>
  <x:si>
    <x:t xml:space="preserve">전투 이력·치명타 집계</x:t>
  </x:si>
  <x:si>
    <x:t xml:space="preserve">체력 피해/직접 타격 판정</x:t>
  </x:si>
  <x:si>
    <x:t xml:space="preserve">자해·지속 피해를 포함한 체력 피해 이력과 직접 공격 치명타 적중 횟수를 각각 기록한다.</x:t>
  </x:si>
  <x:si>
    <x:t xml:space="preserve">현재 피해·치명타 계산은 있으나 기획 조건에 맞는 전투/턴 이력이 필요.</x:t>
  </x:si>
  <x:si>
    <x:t xml:space="preserve">선수필살, 잭팟 선언, 확률 저금</x:t>
  </x:si>
  <x:si>
    <x:t xml:space="preserve">체력 조건·비율 비용</x:t>
  </x:si>
  <x:si>
    <x:t xml:space="preserve">사용 전/공격 전/결과 후</x:t>
  </x:si>
  <x:si>
    <x:t xml:space="preserve">조건은 비용 전 체력으로 검사하고 비용을 먼저 지불한다. 비율 비용은 올림, 최소 1. 생존 필요 비용과 치명적 반동을 구분.</x:t>
  </x:si>
  <x:si>
    <x:t xml:space="preserve">현행 고정 selfDamage만으로 비용 생존 조건·여러 체력 조건 OR·상한 분기를 모두 표현하지 않음.</x:t>
  </x:si>
  <x:si>
    <x:t xml:space="preserve">사선 베기, 목숨 담보, 생사일섬, 사신의 유예, 운명 교환</x:t>
  </x:si>
  <x:si>
    <x:t xml:space="preserve">받는 직접 피해 증감</x:t>
  </x:si>
  <x:si>
    <x:t xml:space="preserve">직접 공격 피해 정산</x:t>
  </x:si>
  <x:si>
    <x:t xml:space="preserve">표식 소스·표적·기간에 따라 받는 직접 피해를 조정한다. 지속 피해와 자해에는 적용하지 않는다.</x:t>
  </x:si>
  <x:si>
    <x:t xml:space="preserve">효과 onHit 배율만으로 플레이어/표적 방향 전체를 안전하게 표현할 수 없음.</x:t>
  </x:si>
  <x:si>
    <x:t xml:space="preserve">무방비의 칼날, 결투 선언</x:t>
  </x:si>
  <x:si>
    <x:t xml:space="preserve">M10</x:t>
  </x:si>
  <x:si>
    <x:t xml:space="preserve">회피 성공 연계</x:t>
  </x:si>
  <x:si>
    <x:t xml:space="preserve">몬스터 직접 공격 회피 후</x:t>
  </x:si>
  <x:si>
    <x:t xml:space="preserve">명중 실패 사유 중 회피 판정을 기록해 버프를 한 번 지급한다. 한 기간에 여러 번 회피해도 중첩하지 않음.</x:t>
  </x:si>
  <x:si>
    <x:t xml:space="preserve">전용 회피 성공 트리거 필요.</x:t>
  </x:si>
  <x:si>
    <x:t xml:space="preserve">M11</x:t>
  </x:si>
  <x:si>
    <x:t xml:space="preserve">쌍방 결투 표식</x:t>
  </x:si>
  <x:si>
    <x:t xml:space="preserve">공격자·피격자 결정</x:t>
  </x:si>
  <x:si>
    <x:t xml:space="preserve">지정 적에게 주는 암살 피해와 해당 적에게 받는 직접 피해를 함께 바꾼다. 다른 적에는 적용하지 않음.</x:t>
  </x:si>
  <x:si>
    <x:t xml:space="preserve">효과 소유자 외에 표적 instanceId 연결 필요.</x:t>
  </x:si>
  <x:si>
    <x:t xml:space="preserve">공격 1회 판정 보정</x:t>
  </x:si>
  <x:si>
    <x:t xml:space="preserve">특정 직접 공격 판정 전</x:t>
  </x:si>
  <x:si>
    <x:t xml:space="preserve">이 공격에만 치명타 확률을 가산하거나 회피를 무시한다. 지속 버프와 구분하고 최종 확률은 0~100으로 제한.</x:t>
  </x:si>
  <x:si>
    <x:t xml:space="preserve">force 치명타는 있으나 치명타 확률 가산과 공격별 회피 무시 확장이 필요.</x:t>
  </x:si>
  <x:si>
    <x:t xml:space="preserve">추적의 칼날, 요행의 일격, 확률 저금</x:t>
  </x:si>
  <x:si>
    <x:t xml:space="preserve">M13</x:t>
  </x:si>
  <x:si>
    <x:t xml:space="preserve">방어막 획득 금지</x:t>
  </x:si>
  <x:si>
    <x:t xml:space="preserve">시전 시 및 방어막 생성 전</x:t>
  </x:si>
  <x:si>
    <x:t xml:space="preserve">기존 방어막을 제거하고 지정 기간의 모든 방어막 획득을 차단한다. 기존 회복·회피 효과는 유지.</x:t>
  </x:si>
  <x:si>
    <x:t xml:space="preserve">방어막 생성 공통 진입점에서 상태 검사 필요.</x:t>
  </x:si>
  <x:si>
    <x:t xml:space="preserve">M14</x:t>
  </x:si>
  <x:si>
    <x:t xml:space="preserve">처치 결과 후속 처리</x:t>
  </x:si>
  <x:si>
    <x:t xml:space="preserve">직접 공격/폭발/지속 피해 처치 후</x:t>
  </x:si>
  <x:si>
    <x:t xml:space="preserve">처치 원인과 죽기 직전 상태 스냅샷을 보존한다. 한 사망에서 후속 처리를 1회만 수행.</x:t>
  </x:si>
  <x:si>
    <x:t xml:space="preserve">onKill 및 피해 원인 분류 확장 필요.</x:t>
  </x:si>
  <x:si>
    <x:t xml:space="preserve">사신의 유예, 연쇄 소각, 역병의 고리</x:t>
  </x:si>
  <x:si>
    <x:t xml:space="preserve">M15</x:t>
  </x:si>
  <x:si>
    <x:t xml:space="preserve">발화 폭발</x:t>
  </x:si>
  <x:si>
    <x:t xml:space="preserve">사용 시 스택 소모 직후</x:t>
  </x:si>
  <x:si>
    <x:t xml:space="preserve">자연 발화와 별도 피해 종류. 실제 소비량으로 위력을 정하고 발화 감소·피해·재부여 순으로 처리한다. 폭발끼리 재귀 발동하지 않음.</x:t>
  </x:si>
  <x:si>
    <x:t xml:space="preserve">적 스택 소모와 폭발 원인 구분 필요.</x:t>
  </x:si>
  <x:si>
    <x:t xml:space="preserve">도화선, 국소 폭발, 폭심지, 재점화</x:t>
  </x:si>
  <x:si>
    <x:t xml:space="preserve">상태 스택 전이·복사</x:t>
  </x:si>
  <x:si>
    <x:t xml:space="preserve">원본/수신자 선택 후</x:t>
  </x:si>
  <x:si>
    <x:t xml:space="preserve">이전은 총량 보존, 복사는 원본 유지. 수신 상한 초과분은 원본에 남긴다. 처치 전이의 초과분만 소멸한다.</x:t>
  </x:si>
  <x:si>
    <x:t xml:space="preserve">적 상태 조회·조작, 두 번째 대상 선택 및 다수 분배 필요.</x:t>
  </x:si>
  <x:si>
    <x:t xml:space="preserve">불길 옮기기, 독성 이식, 독성 농축, 역병의 고리, 전하 분배</x:t>
  </x:si>
  <x:si>
    <x:t xml:space="preserve">적 스택 소비 보상</x:t>
  </x:si>
  <x:si>
    <x:t xml:space="preserve">소비량 확정 후</x:t>
  </x:si>
  <x:si>
    <x:t xml:space="preserve">요구 상태의 존재와 최소량을 사용 전 검사한다. 실제 소모한 스택만으로 회복·방어막·정화량을 계산.</x:t>
  </x:si>
  <x:si>
    <x:t xml:space="preserve">현행 consumeEffect는 플레이어 효과 소모·회복 전용.</x:t>
  </x:si>
  <x:si>
    <x:t xml:space="preserve">잔불 회수, 국소 폭발, 폭심지, 해독 반응, 접지</x:t>
  </x:si>
  <x:si>
    <x:t xml:space="preserve">상태 피해 배율</x:t>
  </x:si>
  <x:si>
    <x:t xml:space="preserve">자연 발화/폭발 피해 계산</x:t>
  </x:si>
  <x:si>
    <x:t xml:space="preserve">자연 연소와 폭발을 구분한다. 다른 출처 배율은 합산 가산하고 최종 상태 피해 배율은 최대 2배.</x:t>
  </x:si>
  <x:si>
    <x:t xml:space="preserve">직접 공격과 별도인 상태 피해 보정 경로 필요.</x:t>
  </x:si>
  <x:si>
    <x:t xml:space="preserve">연소 촉진, 연쇄 소각, 화상 낙인</x:t>
  </x:si>
  <x:si>
    <x:t xml:space="preserve">명중당 상태 부여</x:t>
  </x:si>
  <x:si>
    <x:t xml:space="preserve">각 직접 타격 피해 후</x:t>
  </x:si>
  <x:si>
    <x:t xml:space="preserve">명중 타격마다 상태를 부여한다. 감전 추가 피해는 기존 스택으로 계산 후 새 상태를 부여.</x:t>
  </x:si>
  <x:si>
    <x:t xml:space="preserve">현행 applyEffects는 스킬 처리 후 적용되어 명중당 적용과 다름.</x:t>
  </x:si>
  <x:si>
    <x:t xml:space="preserve">정해진 시점 반복·예약</x:t>
  </x:si>
  <x:si>
    <x:t xml:space="preserve">턴 시작/몬스터 턴 시작 전</x:t>
  </x:si>
  <x:si>
    <x:t xml:space="preserve">등록된 횟수만 발동하고 만료한다. 대상 전체를 시점마다 다시 확인하며 같은 필드는 중복 등록하지 않음.</x:t>
  </x:si>
  <x:si>
    <x:t xml:space="preserve">일반 트리거는 있으나 동적 전체 대상·조건 분기·중복 방지 필요.</x:t>
  </x:si>
  <x:si>
    <x:t xml:space="preserve">소각장, 행운의 방패</x:t>
  </x:si>
  <x:si>
    <x:t xml:space="preserve">M21</x:t>
  </x:si>
  <x:si>
    <x:t xml:space="preserve">적 빙결 생명주기</x:t>
  </x:si>
  <x:si>
    <x:t xml:space="preserve">냉동 성공/해당 몬스터 턴 시작</x:t>
  </x:si>
  <x:si>
    <x:t xml:space="preserve">빙결 부여 시 아직 행동을 스킵하지 않은 상태를 저장. 다음 해당 몬스터 턴의 행동을 1회 건너뛰되 상태는 유지. 그다음 해당 몬스터 턴 시작에 자연 해제 후 정상 행동. 재부여로 대기 상태를 초기화하거나 해제 시점을 연장하지 않음.</x:t>
  </x:si>
  <x:si>
    <x:t xml:space="preserve">현행 1턴 제어의 턴 종료 만료로 표현할 수 없어 skipConsumed와 대상의 턴 경계 상태가 필요.</x:t>
  </x:si>
  <x:si>
    <x:t xml:space="preserve">급속 동결, 냉동 광선, 파쇄의 종, 영구동토</x:t>
  </x:si>
  <x:si>
    <x:t xml:space="preserve">상태 스택 조건·수식</x:t>
  </x:si>
  <x:si>
    <x:t xml:space="preserve">사용 전/효과 산출 전</x:t>
  </x:si>
  <x:si>
    <x:t xml:space="preserve">지정 대상 상태 유무·스택 수를 읽고 임계값 조건 및 상한 수식을 계산한다.</x:t>
  </x:si>
  <x:si>
    <x:t xml:space="preserve">현행 targetEffects는 유무 검사이며 스택 수·효과 조합 수식을 제공하지 않음.</x:t>
  </x:si>
  <x:si>
    <x:t xml:space="preserve">급속 동결, 냉동 광선, 영구동토, 배양, 신경독, 마비독, 독성 장막, 신경 차단, 감전 구속, 과전압, 뇌전 감옥</x:t>
  </x:si>
  <x:si>
    <x:t xml:space="preserve">빙결 파괴 추가 피해</x:t>
  </x:si>
  <x:si>
    <x:t xml:space="preserve">빙결 대상의 직접 공격 명중/원격 파쇄</x:t>
  </x:si>
  <x:si>
    <x:t xml:space="preserve">직접 공격이 명중하면 공격 전 냉기 스택 S를 고정하고 빙결을 먼저 제거. 직접 피해 후 기본 5*S의 파괴 추가 피해를 1회 적용. 일반 피해 1.5배 보너스는 제거. 빗나감·지속·감전·반사 피해는 파괴하지 않음. 냉기 스택은 소모하지 않음.</x:t>
  </x:si>
  <x:si>
    <x:t xml:space="preserve">기존 frozen damageTakenMultiplier/removeOnHit를 단순 재사용하지 않고 원인별 해제와 냉기 비례 별도 피해 경로가 필요.</x:t>
  </x:si>
  <x:si>
    <x:t xml:space="preserve">급속 동결, 쇄빙, 파쇄의 종</x:t>
  </x:si>
  <x:si>
    <x:t xml:space="preserve">M24</x:t>
  </x:si>
  <x:si>
    <x:t xml:space="preserve">자기 빙결 생명주기</x:t>
  </x:si>
  <x:si>
    <x:t xml:space="preserve">자기 빙결 시전 완료/플레이어 턴 시작</x:t>
  </x:si>
  <x:si>
    <x:t xml:space="preserve">몬스터 빙결과 독립된 selfFreeze 상태 및 플레이어 턴 전체 생략, 지속 효과 정산을 계속하는 처리가 필요.</x:t>
  </x:si>
  <x:si>
    <x:t xml:space="preserve">빙하의 관, 절대영도</x:t>
  </x:si>
  <x:si>
    <x:t xml:space="preserve">중독 틱 조작</x:t>
  </x:si>
  <x:si>
    <x:t xml:space="preserve">자연 중독 피해/즉시 촉진</x:t>
  </x:si>
  <x:si>
    <x:t xml:space="preserve">현재 스택만큼 고정 피해 후 1 감소. 보존은 감소만 막고 치사 배양은 1회 피해 계산에만 가산. 촉진은 추가 틱 뒤 1 감소.</x:t>
  </x:si>
  <x:si>
    <x:t xml:space="preserve">기본 중독은 EffectRules로 구성 가능. 틱 가산·감소 예외·소멸 재부여는 확장 필요.</x:t>
  </x:si>
  <x:si>
    <x:t xml:space="preserve">독성 보존, 치사 배양, 독성 촉진, 잔류독</x:t>
  </x:si>
  <x:si>
    <x:t xml:space="preserve">무작위 결과 조작</x:t>
  </x:si>
  <x:si>
    <x:t xml:space="preserve">행운 난수 생성 후·피해 전</x:t>
  </x:si>
  <x:si>
    <x:t xml:space="preserve">주사위 원결과를 보존한다. 재추첨 후 판돈 범위 변경, 운명 교환 하한 보정 순으로 적용. 하한은 최종 상한을 넘지 않음.</x:t>
  </x:si>
  <x:si>
    <x:t xml:space="preserve">현행 dice·randomMin/Max는 있으나 결과별 후속 효과·재추첨·하한 조작 필요.</x:t>
  </x:si>
  <x:si>
    <x:t xml:space="preserve">운명의 주사위, 판돈 올리기, 불운 적립, 행운의 방패, 행운 재추첨, 쌍주사위, 운명 교환</x:t>
  </x:si>
  <x:si>
    <x:t xml:space="preserve">전투 보상 변경</x:t>
  </x:si>
  <x:si>
    <x:t xml:space="preserve">전투 승리 후 보상 생성</x:t>
  </x:si>
  <x:si>
    <x:t xml:space="preserve">시전 전투에만 적용. 후보 개수·재화·등급 교체를 각각 처리하고 보상 새로고침에서도 같은 혜택을 중복 지급하지 않음.</x:t>
  </x:si>
  <x:si>
    <x:t xml:space="preserve">RewardService와 런 스냅샷/보상 저장 상태에 연결 필요.</x:t>
  </x:si>
  <x:si>
    <x:t xml:space="preserve">황금 손길, 보물의 예감, 잭팟 선언</x:t>
  </x:si>
  <x:si>
    <x:t xml:space="preserve">치명 피해 생존</x:t>
  </x:si>
  <x:si>
    <x:t xml:space="preserve">직접 공격 체력 감소 직전</x:t>
  </x:si>
  <x:si>
    <x:t xml:space="preserve">방어막 정산 후 체력 피해가 치명적인지 검사해 1회만 생존한다. 지속 피해·자해에는 적용하지 않음.</x:t>
  </x:si>
  <x:si>
    <x:t xml:space="preserve">사망 확정 전 생존 훅 필요.</x:t>
  </x:si>
  <x:si>
    <x:t xml:space="preserve">감전 핵심</x:t>
  </x:si>
  <x:si>
    <x:t xml:space="preserve">직접 공격 명중 후</x:t>
  </x:si>
  <x:si>
    <x:t xml:space="preserve">명중한 1타마다 공격 전 감전 스택 S만큼 고정 추가 피해. 공격력·치명타·문제 효율로 중복 증폭하지 않음. 다음 자신의 턴 시작에 1스택 자연 감소. 빙결 파괴 추가 피해는 감전을 다시 발동시키지 않음.</x:t>
  </x:si>
  <x:si>
    <x:t xml:space="preserve">신규 감전 상태 및 타격당 고정 피해 경로 필요.</x:t>
  </x:si>
  <x:si>
    <x:t xml:space="preserve">정전기, 고압 주입, 전류 살포, 도체 지정, 축전, 신경 차단, 감전 구속, 절연 파괴, 누전, 과전압, 낙뢰, 전하 분배, 전자 방벽, 접지, 뇌전 감옥</x:t>
  </x:si>
  <x:si>
    <x:t xml:space="preserve">M30</x:t>
  </x:si>
  <x:si>
    <x:t xml:space="preserve">감전 배율·누전</x:t>
  </x:si>
  <x:si>
    <x:t xml:space="preserve">감전 추가 피해 정산</x:t>
  </x:si>
  <x:si>
    <x:t xml:space="preserve">도체+30%, 과전압+100%는 가산. 절연 파괴 증가분은 방어막에만 적용. 누전은 기본 감전 추가분으로 계산하며 전류·지속·반격 유발 피해는 재귀하지 않음.</x:t>
  </x:si>
  <x:si>
    <x:t xml:space="preserve">추가 피해의 원인 태그·횟수·표적 연결·방어막 전용 증가분 분리 필요.</x:t>
  </x:si>
  <x:si>
    <x:t xml:space="preserve">도체 지정, 축전, 절연 파괴, 누전, 과전압</x:t>
  </x:si>
  <x:si>
    <x:t xml:space="preserve">M31</x:t>
  </x:si>
  <x:si>
    <x:t xml:space="preserve">선택 정화</x:t>
  </x:si>
  <x:si>
    <x:t xml:space="preserve">대상 적 스택 소비 후</x:t>
  </x:si>
  <x:si>
    <x:t xml:space="preserve">현재 해제 가능한 플레이어 디버프 하나를 기간 내림차순, 부여 순으로 골라 제거한다. 해제 대상이 없으면 사용 불가.</x:t>
  </x:si>
  <x:si>
    <x:t xml:space="preserve">현행 removeDebuffs는 전체 제거여서 선택 규칙 확장 필요.</x:t>
  </x:si>
  <x:si>
    <x:t xml:space="preserve">M32</x:t>
  </x:si>
  <x:si>
    <x:t xml:space="preserve">자기 빙결 방어막 유지</x:t>
  </x:si>
  <x:si>
    <x:t xml:space="preserve">자기 빙결 중 턴 전환/해제</x:t>
  </x:si>
  <x:si>
    <x:t xml:space="preserve">빙하의 관으로 얻은 방어막만 자기 빙결 중 기존 턴 시작 초기화에서 제외. 피해 흡수로 줄어들 수 있으며 자기 빙결 자연 해제 때 남은 해당 방어막 제거. 다른 방어막에는 유지 예외를 적용하지 않음.</x:t>
  </x:si>
  <x:si>
    <x:t xml:space="preserve">방어막에 출처별 잔량을 기록하고 턴 초기화와 자연 해제 시 정산해야 함.</x:t>
  </x:si>
  <x:si>
    <x:t xml:space="preserve">M33</x:t>
  </x:si>
  <x:si>
    <x:t xml:space="preserve">자기 빙결 무적</x:t>
  </x:si>
  <x:si>
    <x:t xml:space="preserve">플레이어 피해 정산 전</x:t>
  </x:si>
  <x:si>
    <x:t xml:space="preserve">절대영도 자기 빙결 중 직접 공격·지속·반사 피해를 0으로 처리. 피해 사건의 부가 상태 부여는 그대로 진행. 무적은 체력 비용을 면제하지 않으며 자기 빙결 해제·전투 종료 시 즉시 제거.</x:t>
  </x:si>
  <x:si>
    <x:t xml:space="preserve">플레이어 공통 피해 경로에 무적 검사가 필요. 효과 기간은 자기 빙결 상태를 따름.</x:t>
  </x:si>
  <x:si>
    <x:t xml:space="preserve">항목</x:t>
  </x:si>
  <x:si>
    <x:t xml:space="preserve">설계 기준</x:t>
  </x:si>
  <x:si>
    <x:t xml:space="preserve">설계 상태</x:t>
  </x:si>
  <x:si>
    <x:t xml:space="preserve">전체 수치와 등급은 레벨 1 기준의 밸런스 초안. 동일한 Skills 양식으로 정리한 기획안이며 원본 DB에는 적용하지 않음.</x:t>
  </x:si>
  <x:si>
    <x:t xml:space="preserve">스킬 수</x:t>
  </x:si>
  <x:si>
    <x:t xml:space="preserve">7개 컨셉마다 기존 제안 10개와 추가 5개. 총 105개. 기존 제안도 중독 정정 및 수치화를 반영.</x:t>
  </x:si>
  <x:si>
    <x:t xml:space="preserve">추가 스킬 표시</x:t>
  </x:si>
  <x:si>
    <x:t xml:space="preserve">Skills의 proposalOrigin과 스킬 기획의 구분이 추가 5개인 행이 이번에 추가한 35개.</x:t>
  </x:si>
  <x:si>
    <x:t xml:space="preserve">주력 피해 구분</x:t>
  </x:si>
  <x:si>
    <x:t xml:space="preserve">타격은 타수·연계, 암살은 단타·체력 위험, 발화는 최대 체력 비례 연소·스택 폭발, 빙결은 냉기 축적·냉동·파괴·자기 방어, 중독은 고정 지속 피해, 행운은 치명타·난수·보상, 감전은 타격당 고정 추가 피해.</x:t>
  </x:si>
  <x:si>
    <x:t xml:space="preserve">능력치 단위</x:t>
  </x:si>
  <x:si>
    <x:t xml:space="preserve">공격력/방어력은 캐릭터 최종 능력치. %p는 확률의 가산 변화. 모든 비율 피해는 대상별 최대 체력을 기준으로 함.</x:t>
  </x:si>
  <x:si>
    <x:t xml:space="preserve">중독 확정 규칙</x:t>
  </x:si>
  <x:si>
    <x:t xml:space="preserve">S스택이면 다음 자신의 턴 시작에 S의 고정 피해 후 S-1스택. 0이면 해제. 7스택은 7+6+5+4+3+2+1=28 피해. 팩토리얼·지수 피해 아님.</x:t>
  </x:si>
  <x:si>
    <x:t xml:space="preserve">중독 시점 제안</x:t>
  </x:si>
  <x:si>
    <x:t xml:space="preserve">사용자 설명의 다음 턴을 반영해 자연 중독 피해를 자신의 턴 시작으로 제안. 원본 DB는 turnEnd이므로 Effects/EffectRules의 신규 ID에서 시점 변경.</x:t>
  </x:si>
  <x:si>
    <x:t xml:space="preserve">발화 기본값</x:t>
  </x:si>
  <x:si>
    <x:t xml:space="preserve">S스택이면 몬스터 턴 시작 직전에 대상 최대 체력의 S% 피해 후 1스택 감소. 방어막이 흡수함. 기절·빙결로 행동하지 못해도 연소함.</x:t>
  </x:si>
  <x:si>
    <x:t xml:space="preserve">감전 제안 규칙</x:t>
  </x:si>
  <x:si>
    <x:t xml:space="preserve">직접 공격이 명중할 때마다 기존 감전 S스택만큼 고정 추가 피해. 다음 자신의 턴 시작에 1스택 감소. 직접 공격 후 새 감전을 부여하며 부여한 타격에는 새 스택을 적용하지 않음.</x:t>
  </x:si>
  <x:si>
    <x:t xml:space="preserve">감전 재귀 방지</x:t>
  </x:si>
  <x:si>
    <x:t xml:space="preserve">지속 피해·빙결 파괴 추가 피해·발화 폭발·감전 자체·누전은 감전을 재발동하지 않음. 타격형 반격은 직접 타격으로 인정하되 재귀 반격은 금지.</x:t>
  </x:si>
  <x:si>
    <x:t xml:space="preserve">상태 스택 상한</x:t>
  </x:si>
  <x:si>
    <x:t xml:space="preserve">발화·중독·감전은 각각 99스택, 신규 냉기는 20스택을 초안 상한으로 제안. 일부 스킬은 별도 위력 상한 적용. 스택 상한은 밸런스 검증 후 조정 가능.</x:t>
  </x:si>
  <x:si>
    <x:t xml:space="preserve">냉기 기본 규칙</x:t>
  </x:si>
  <x:si>
    <x:t xml:space="preserve">스택당 회피율 5%p, 방어력 1 감소. 최대 20스택, 이번 전투 동안 유지. 빙결 해제와 별도로 유지하며 자동 빙결·자연 감소하지 않는다. 회피율 5% 감소는 확률 5%p 가산 감소로 해석한 초안.</x:t>
  </x:si>
  <x:si>
    <x:t xml:space="preserve">냉동 판정</x:t>
  </x:si>
  <x:si>
    <x:t xml:space="preserve">냉기만 쌓아서는 자동 빙결되지 않음. 냉동 스킬 처리 후 냉기 스택을 검사. 급속 동결 5스택, 냉동 광선·영구동토 8스택 기준. 부족하면 기본 공격·냉기 부여·방어막 등은 정상 적용.</x:t>
  </x:si>
  <x:si>
    <x:t xml:space="preserve">적 빙결 유지와 해제</x:t>
  </x:si>
  <x:si>
    <x:t xml:space="preserve">다음 해당 몬스터 턴의 행동을 1회 건너뛴 뒤에도 빙결 유지. 그다음 해당 몬스터 턴 시작에 자연 해제되어 정상 행동. 그 전에 직접 공격을 맞으면 즉시 해제하며 파괴 추가 피해. 스킵 전 파괴되면 행동 생략도 취소.</x:t>
  </x:si>
  <x:si>
    <x:t xml:space="preserve">약화 중첩</x:t>
  </x:si>
  <x:si>
    <x:t xml:space="preserve">같은 effectId의 능력치 효과는 수치 중첩 없이 지속시간 갱신. 서로 다른 효과는 현행 계산 규칙으로 합산하되 최종 확률은 0~100 제한.</x:t>
  </x:si>
  <x:si>
    <x:t xml:space="preserve">짧은 쿨타임은 무료 행동을 뜻하지 않음. 모든 공격은 행동력을 소비. 호흡 정돈만 비용 0이며 회복 1·턴당 1회 제한.</x:t>
  </x:si>
  <x:si>
    <x:t xml:space="preserve">턴 지속 정의</x:t>
  </x:si>
  <x:si>
    <x:t xml:space="preserve">다음 몬스터 턴까지는 그 몬스터 턴 전체를 포함. 신규 일반 유한 턴 효과는 decrementOnApplyTurn=true. 적 빙결·자기 빙결·무적은 정수 durationTurns가 아닌 해당 행동 주체의 턴 경계를 따르는 예외.</x:t>
  </x:si>
  <x:si>
    <x:t xml:space="preserve">쿨타임</x:t>
  </x:si>
  <x:si>
    <x:t xml:space="preserve">기존 Skills의 정수 턴 단위를 사용. 0이면 쿨타임 없음. 실제 재사용 가능 시점은 현재 쿨타임 감소 순서를 따름.</x:t>
  </x:si>
  <x:si>
    <x:t xml:space="preserve">문제 효율</x:t>
  </x:si>
  <x:si>
    <x:t xml:space="preserve">직접 스킬 피해·일반 방어막은 현행 문제 효율을 적용. 중독·발화·감전의 기본 수치와 틱 피해에는 효율을 재곱하지 않음. 냉기 스택당 능력치 감소와 빙결 파괴 기본 추가 피해에도 효율을 재곱하지 않음.</x:t>
  </x:si>
  <x:si>
    <x:t xml:space="preserve">명중과 부여</x:t>
  </x:si>
  <x:si>
    <x:t xml:space="preserve">기본 applyEffects는 현행 스킬 종료 시 부여를 따름. 명중한 타격마다 부여하는 불씨비·감전 공격 등은 확장 로직을 사용. 공격 없는 상태 부여는 확률 100% 기준.</x:t>
  </x:si>
  <x:si>
    <x:t xml:space="preserve">정수 처리</x:t>
  </x:si>
  <x:si>
    <x:t xml:space="preserve">피해·회복·방어막은 반올림 정수. 양수인 실제 피해는 최소 1. 이전·복사 절반은 버림. 체력 비율 비용은 올림, 최소 1.</x:t>
  </x:si>
  <x:si>
    <x:t xml:space="preserve">체력 비용</x:t>
  </x:si>
  <x:si>
    <x:t xml:space="preserve">지불 후 생존이 필요한 스킬은 비용 전 사용 가능 여부를 검사. 사신의 유예의 실패 반동은 사망할 수 있음. 방어막은 비용을 대신 지불하지 않음.</x:t>
  </x:si>
  <x:si>
    <x:t xml:space="preserve">강화</x:t>
  </x:si>
  <x:si>
    <x:t xml:space="preserve">effectJson 공란</x:t>
  </x:si>
  <x:si>
    <x:t xml:space="preserve">보상 활성</x:t>
  </x:si>
  <x:si>
    <x:t xml:space="preserve">고유 등급</x:t>
  </x:si>
  <x:si>
    <x:t xml:space="preserve">고유는 빌드 운영 규칙을 바꾸는 특수 스킬. 전설보다 단순 계수가 높은 상위 등급으로 취급하지 않으며 잭팟 등급 승급 대상에서 제외.</x:t>
  </x:si>
  <x:si>
    <x:t xml:space="preserve">출혈</x:t>
  </x:si>
  <x:si>
    <x:t xml:space="preserve">출혈은 몬스터 전용. 본 기획의 플레이어 스킬 및 신규 효과에는 출혈 부여 없음. 몬스터 Skills 행 삭제·변경 없음.</x:t>
  </x:si>
  <x:si>
    <x:t xml:space="preserve">구현 판단 범위</x:t>
  </x:si>
  <x:si>
    <x:t xml:space="preserve">신규 효과 조합은 현재 EffectRules v2와 Skills 규칙으로 표현 가능하다는 뜻. 실제 배포·브라우저/서버 동작 검증을 완료했다는 뜻은 아님.</x:t>
  </x:si>
  <x:si>
    <x:t xml:space="preserve">원본 양식 출처</x:t>
  </x:si>
  <x:si>
    <x:t xml:space="preserve">https://docs.google.com/spreadsheets/d/1FgaAkjv-2h-bBqBgC9SzmOqjLJDgyFOoqBxKwdaIUF4/edit | Skills!A1:Q65, Effects!A1:U21, EffectRules!A1:I29 | 읽기 확인 2026-10-17</x:t>
  </x:si>
  <x:si>
    <x:t xml:space="preserve">추가 참고</x:t>
  </x:si>
  <x:si>
    <x:t xml:space="preserve">기존 게임 규칙과 사용자 스킬 기획을 유지하되, 2026-10-17 사용자 요청에 따라 빙결 컨셉 15개를 냉기·냉동·빙결 파괴·자기 빙결 중심으로 개편. 냉동 기준·파괴 계수·상한은 수치 초안.</x:t>
  </x:si>
  <x:si>
    <x:t xml:space="preserve">등급: 일반 (common)</x:t>
  </x:si>
  <x:si>
    <x:t xml:space="preserve">기본 시동·짧은 순환·단순 생존. 해당 컨셉을 시작할 수 있게 하는 기술.</x:t>
  </x:si>
  <x:si>
    <x:t xml:space="preserve">등급: 드문 (uncommon)</x:t>
  </x:si>
  <x:si>
    <x:t xml:space="preserve">명확한 조건 하나 또는 한 가지 보조 연계를 제공.</x:t>
  </x:si>
  <x:si>
    <x:t xml:space="preserve">등급: 희귀 (rare)</x:t>
  </x:si>
  <x:si>
    <x:t xml:space="preserve">전투 흐름을 바꾸는 연계·제어·스택 이동·조건부 효율.</x:t>
  </x:si>
  <x:si>
    <x:t xml:space="preserve">등급: 영웅 (epic)</x:t>
  </x:si>
  <x:si>
    <x:t xml:space="preserve">강한 복합 효과, 여러 대상을 묶는 운영 또는 큰 준비 보상.</x:t>
  </x:si>
  <x:si>
    <x:t xml:space="preserve">등급: 전설 (legendary)</x:t>
  </x:si>
  <x:si>
    <x:t xml:space="preserve">컨셉의 대표 마무리나 큰 보상. 긴 쿨타임·행동력·횟수 조건으로 제한.</x:t>
  </x:si>
  <x:si>
    <x:t xml:space="preserve">등급: 고유 (unique)</x:t>
  </x:si>
  <x:si>
    <x:t xml:space="preserve">스택 유지·방어 포기·필드·난수 보정처럼 운영 규칙을 바꾸는 특수 기술.</x:t>
  </x:si>
  <x:si>
    <x:t xml:space="preserve">빙결 파괴 계산</x:t>
  </x:si>
  <x:si>
    <x:t xml:space="preserve">기본 추가 피해 = 직접 공격 명중 전 냉기 스택 S × 5. 기본 공격·다른 컨셉 공격도 빙결을 깨뜨릴 수 있음. 직접 피해와 별도 정수 피해이며 치명타·문제 효율·기존 빙결 1.5배 보너스는 적용하지 않음. 방어막이 먼저 흡수.</x:t>
  </x:si>
  <x:si>
    <x:t xml:space="preserve">파괴 스택 기준</x:t>
  </x:si>
  <x:si>
    <x:t xml:space="preserve">빙결 후 추가로 쌓인 냉기도 공격 직전 스택에 포함. 파괴·자연 해제 시 냉기 스택은 소모하지 않음. 직접 다단히트는 첫 명중에서만 빙결 파괴 추가 피해가 발생.</x:t>
  </x:si>
  <x:si>
    <x:t xml:space="preserve">자기 빙결</x:t>
  </x:si>
  <x:si>
    <x:t xml:space="preserve">즉시 남은 행동을 중단하고 다음 자신의 턴 1회를 건너뛴 뒤 그다음 자신의 턴 시작에 해제. 피격으로 해제되지 않음. 건너뛰는 동안에도 몬스터 행동·중독 등 기존 지속 효과는 정상 정산.</x:t>
  </x:si>
  <x:si>
    <x:t xml:space="preserve">자기 빙결 방어막</x:t>
  </x:si>
  <x:si>
    <x:t xml:space="preserve">빙하의 관 방어막은 자기 빙결 중 턴 전환으로 초기화되지 않고 실제 피격으로만 감소. 자연 해제 시 해당 잔여 방어막은 제거. 기본 빙벽·빙하 방벽은 기존 일반 방어막 수명을 따름.</x:t>
  </x:si>
  <x:si>
    <x:t xml:space="preserve">절대영도는 자기 빙결 동안 직접 공격·지속·반사 피해를 모두 무효화. 상태이상 부여까지 차단하는 효과는 아님. 체력 비용 면제 없음. 전투당 1회.</x:t>
  </x:si>
  <x:si>
    <x:t xml:space="preserve">빙결 턴 예시</x:t>
  </x:si>
  <x:si>
    <x:t xml:space="preserve">플레이어 턴 A에서 냉동 성공 → 몬스터 턴 A 행동 스킵 후 빙결 유지 → 플레이어 턴 B에서 공격하면 빙결 해제·스택 비례 추가 피해 → 공격하지 않으면 몬스터 턴 B 시작에 자연 해제 후 정상 행동.</x:t>
  </x:si>
  <x:si>
    <x:t xml:space="preserve">빙결 조합 개방</x:t>
  </x:si>
  <x:si>
    <x:t xml:space="preserve">냉기는 타격·암살 등 다른 컨셉의 명중과 방어막 대응에도 도움. 빙결 파괴는 모든 직접 공격이 가능하며 빙결 전용 스킬을 반드시 추가 보유할 필요 없음.</x:t>
  </x:si>
</x:sst>
</file>

<file path=xl/styles.xml><?xml version="1.0" encoding="utf-8"?>
<x:styleSheet xmlns:x="http://schemas.openxmlformats.org/spreadsheetml/2006/main">
  <x:numFmts count="1">
    <x:numFmt numFmtId="164" formatCode="0"/>
  </x:numFmts>
  <x:fonts count="10"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sz val="10"/>
      <x:color rgb="FF202B3A"/>
      <x:name val="Arial"/>
    </x:font>
    <x:font>
      <x:b/>
      <x:sz val="16"/>
      <x:color rgb="FF24364B"/>
      <x:name val="Arial"/>
    </x:font>
    <x:font>
      <x:b/>
      <x:sz val="10"/>
      <x:color rgb="FFFFFFFF"/>
      <x:name val="Arial"/>
    </x:font>
    <x:font>
      <x:b/>
      <x:sz val="10"/>
      <x:color rgb="FF9A4B28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E9EDF2"/>
      </x:patternFill>
    </x:fill>
    <x:fill>
      <x:patternFill patternType="solid">
        <x:fgColor rgb="FF9A4B28"/>
      </x:patternFill>
    </x:fill>
    <x:fill>
      <x:patternFill patternType="solid">
        <x:fgColor rgb="FF644777"/>
      </x:patternFill>
    </x:fill>
    <x:fill>
      <x:patternFill patternType="solid">
        <x:fgColor rgb="FFB84232"/>
      </x:patternFill>
    </x:fill>
    <x:fill>
      <x:patternFill patternType="solid">
        <x:fgColor rgb="FF397B9C"/>
      </x:patternFill>
    </x:fill>
    <x:fill>
      <x:patternFill patternType="solid">
        <x:fgColor rgb="FF52783A"/>
      </x:patternFill>
    </x:fill>
    <x:fill>
      <x:patternFill patternType="solid">
        <x:fgColor rgb="FF99771F"/>
      </x:patternFill>
    </x:fill>
    <x:fill>
      <x:patternFill patternType="solid">
        <x:fgColor rgb="FF5955A4"/>
      </x:patternFill>
    </x:fill>
    <x:fill>
      <x:patternFill patternType="solid">
        <x:fgColor rgb="FFE8E8E8"/>
      </x:patternFill>
    </x:fill>
  </x:fills>
  <x:borders count="2">
    <x:border>
      <x:left/>
      <x:right/>
      <x:top/>
      <x:bottom/>
    </x:border>
    <x:border>
      <x:left/>
      <x:right/>
      <x:top/>
      <x:bottom style="thin">
        <x:color rgb="FFAAB5C2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30">
    <x:xf numFmtId="0" fontId="0" fillId="0" borderId="0" xfId="1" applyNumberFormat="1">
      <x:alignment horizontal="general" vertical="bottom"/>
    </x:xf>
    <x:xf numFmtId="0" fontId="6" fillId="0" borderId="0" xfId="1" applyNumberFormat="1" applyFont="1" applyFill="1" applyBorder="1" applyAlignment="1">
      <x:alignment horizontal="general" vertical="center"/>
    </x:xf>
    <x:xf numFmtId="0" fontId="7" fillId="0" borderId="0" xfId="1" applyNumberFormat="1" applyFont="1" applyFill="1" applyBorder="1" applyAlignment="1">
      <x:alignment horizontal="general" vertical="center"/>
    </x:xf>
    <x:xf numFmtId="0" fontId="6" fillId="0" borderId="1" xfId="1" applyNumberFormat="1" applyFont="1" applyFill="1" applyBorder="1" applyAlignment="1">
      <x:alignment horizontal="general" vertical="center"/>
    </x:xf>
    <x:xf numFmtId="0" fontId="8" fillId="2" borderId="0" xfId="1" applyNumberFormat="1" applyFont="1" applyFill="1" applyBorder="1" applyAlignment="1">
      <x:alignment horizontal="general" vertical="center"/>
    </x:xf>
    <x:xf numFmtId="0" fontId="6" fillId="0" borderId="0" xfId="1" applyNumberFormat="1" applyFont="1" applyFill="1" applyBorder="1" applyAlignment="1">
      <x:alignment horizontal="general" vertical="center" wrapText="1"/>
    </x:xf>
    <x:xf numFmtId="0" fontId="9" fillId="0" borderId="0" xfId="1" applyNumberFormat="1" applyFont="1" applyFill="1" applyBorder="1" applyAlignment="1">
      <x:alignment horizontal="general" vertical="center" wrapText="1"/>
    </x:xf>
    <x:xf numFmtId="0" fontId="0" fillId="0" borderId="0" xfId="1" applyNumberFormat="1" applyFont="1" applyFill="1" applyBorder="1" applyAlignment="1">
      <x:alignment horizontal="general" vertical="center" wrapText="1"/>
    </x:xf>
    <x:xf numFmtId="0" fontId="0" fillId="0" borderId="0" xfId="1" applyNumberFormat="1" applyFont="1" applyFill="1" applyBorder="1" applyAlignment="1">
      <x:alignment horizontal="general" vertical="center" wrapText="1"/>
    </x:xf>
    <x:xf numFmtId="0" fontId="0" fillId="0" borderId="0" xfId="1" applyNumberFormat="1" applyFont="1" applyFill="1" applyBorder="1" applyAlignment="1">
      <x:alignment horizontal="general" vertical="center" wrapText="1"/>
    </x:xf>
    <x:xf numFmtId="0" fontId="0" fillId="0" borderId="0" xfId="1" applyNumberFormat="1" applyFont="1" applyFill="1" applyBorder="1" applyAlignment="1">
      <x:alignment horizontal="general" vertical="center" wrapText="1"/>
    </x:xf>
    <x:xf numFmtId="0" fontId="0" fillId="0" borderId="0" xfId="1" applyNumberFormat="1" applyFont="1" applyFill="1" applyBorder="1" applyAlignment="1">
      <x:alignment horizontal="general" vertical="center" wrapText="1"/>
    </x:xf>
    <x:xf numFmtId="0" fontId="0" fillId="0" borderId="0" xfId="1" applyNumberFormat="1" applyFont="1" applyFill="1" applyBorder="1" applyAlignment="1">
      <x:alignment horizontal="general" vertical="center" wrapText="1"/>
    </x:xf>
    <x:xf numFmtId="0" fontId="0" fillId="3" borderId="0" xfId="1" applyNumberFormat="1" applyFont="1" applyFill="1" applyBorder="1" applyAlignment="1">
      <x:alignment horizontal="general" vertical="center"/>
    </x:xf>
    <x:xf numFmtId="164" fontId="6" fillId="0" borderId="0" xfId="1" applyNumberFormat="1" applyFont="1" applyFill="1" applyBorder="1" applyAlignment="1">
      <x:alignment horizontal="general" vertical="center" wrapText="1"/>
    </x:xf>
    <x:xf numFmtId="164" fontId="0" fillId="3" borderId="0" xfId="1" applyNumberFormat="1" applyFont="1" applyFill="1" applyBorder="1" applyAlignment="1">
      <x:alignment horizontal="general" vertical="center"/>
    </x:xf>
    <x:xf numFmtId="0" fontId="6" fillId="0" borderId="0" xfId="1" applyNumberFormat="1" applyFont="1" applyFill="1" applyBorder="1" applyAlignment="1">
      <x:alignment horizontal="general" vertical="center"/>
    </x:xf>
    <x:xf numFmtId="0" fontId="8" fillId="4" borderId="0" xfId="1" applyNumberFormat="1" applyFont="1" applyFill="1" applyBorder="1" applyAlignment="1">
      <x:alignment horizontal="general" vertical="center" wrapText="1"/>
    </x:xf>
    <x:xf numFmtId="0" fontId="8" fillId="5" borderId="0" xfId="1" applyNumberFormat="1" applyFont="1" applyFill="1" applyBorder="1" applyAlignment="1">
      <x:alignment horizontal="general" vertical="center" wrapText="1"/>
    </x:xf>
    <x:xf numFmtId="0" fontId="8" fillId="6" borderId="0" xfId="1" applyNumberFormat="1" applyFont="1" applyFill="1" applyBorder="1" applyAlignment="1">
      <x:alignment horizontal="general" vertical="center" wrapText="1"/>
    </x:xf>
    <x:xf numFmtId="0" fontId="8" fillId="7" borderId="0" xfId="1" applyNumberFormat="1" applyFont="1" applyFill="1" applyBorder="1" applyAlignment="1">
      <x:alignment horizontal="general" vertical="center" wrapText="1"/>
    </x:xf>
    <x:xf numFmtId="0" fontId="8" fillId="8" borderId="0" xfId="1" applyNumberFormat="1" applyFont="1" applyFill="1" applyBorder="1" applyAlignment="1">
      <x:alignment horizontal="general" vertical="center" wrapText="1"/>
    </x:xf>
    <x:xf numFmtId="0" fontId="0" fillId="9" borderId="0" xfId="1" applyNumberFormat="1" applyFont="1" applyFill="1" applyBorder="1" applyAlignment="1">
      <x:alignment horizontal="general" vertical="center" wrapText="1"/>
    </x:xf>
    <x:xf numFmtId="0" fontId="0" fillId="0" borderId="0" xfId="1" applyNumberFormat="1" applyFont="1" applyFill="1" applyBorder="1" applyAlignment="1">
      <x:alignment horizontal="general" vertical="center" wrapText="1"/>
    </x:xf>
    <x:xf numFmtId="0" fontId="0" fillId="4" borderId="0" xfId="1" applyNumberFormat="1" applyFont="1" applyFill="1" applyBorder="1" applyAlignment="1">
      <x:alignment horizontal="general" vertical="center" wrapText="1"/>
    </x:xf>
    <x:xf numFmtId="0" fontId="0" fillId="0" borderId="0" xfId="1" applyNumberFormat="1" applyFont="1">
      <x:alignment horizontal="general" vertical="bottom"/>
    </x:xf>
    <x:xf numFmtId="0" fontId="0" fillId="10" borderId="0" xfId="1" applyNumberFormat="1" applyFont="1" applyFill="1" applyBorder="1" applyAlignment="1">
      <x:alignment horizontal="general" vertical="center" wrapText="1"/>
    </x:xf>
    <x:xf numFmtId="0" fontId="0" fillId="0" borderId="0" xfId="1" applyNumberFormat="1" applyFont="1" applyFill="1" applyBorder="1" applyAlignment="1">
      <x:alignment horizontal="general" vertical="center" wrapText="1"/>
    </x:xf>
    <x:xf numFmtId="0" fontId="0" fillId="11" borderId="0" xfId="1" applyNumberFormat="1" applyFont="1" applyFill="1" applyBorder="1" applyAlignment="1">
      <x:alignment horizontal="general" vertical="center" wrapText="1"/>
    </x:xf>
    <x:xf numFmtId="0" fontId="0" fillId="0" borderId="0" xfId="1" applyNumberFormat="1" applyFont="1" applyAlignment="1">
      <x:alignment horizontal="general" vertical="center" wrapText="1"/>
    </x:xf>
  </x:cellXfs>
  <x:cellStyles count="2">
    <x:cellStyle name="표준" xfId="0"/>
    <x:cellStyle name="Normal" xfId="1"/>
  </x:cellStyles>
  <x:dxfs count="1">
    <x:dxf>
      <x:fill>
        <x:patternFill>
          <x:bgColor rgb="fffff0d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c683ff716c4f04" /><Relationship Type="http://schemas.openxmlformats.org/officeDocument/2006/relationships/theme" Target="/xl/theme/theme1.xml" Id="R41be9acbe2b0419d" /><Relationship Type="http://schemas.openxmlformats.org/officeDocument/2006/relationships/sharedStrings" Target="/xl/sharedStrings.xml" Id="R66f41dff995f4307" /><Relationship Type="http://schemas.openxmlformats.org/officeDocument/2006/relationships/worksheet" Target="/xl/worksheets/sheet1.xml" Id="R6abf4dbc43b74921" /><Relationship Type="http://schemas.openxmlformats.org/officeDocument/2006/relationships/worksheet" Target="/xl/worksheets/sheet2.xml" Id="R750413374f2d40bb" /><Relationship Type="http://schemas.openxmlformats.org/officeDocument/2006/relationships/worksheet" Target="/xl/worksheets/sheet3.xml" Id="R628e98f6ce6b40b8" /><Relationship Type="http://schemas.openxmlformats.org/officeDocument/2006/relationships/worksheet" Target="/xl/worksheets/sheet4.xml" Id="Rcbaae2b8a4344520" /><Relationship Type="http://schemas.openxmlformats.org/officeDocument/2006/relationships/worksheet" Target="/xl/worksheets/sheet5.xml" Id="R93608e976948423d" /><Relationship Type="http://schemas.openxmlformats.org/officeDocument/2006/relationships/worksheet" Target="/xl/worksheets/sheet6.xml" Id="R94e845ec45734859" /><Relationship Type="http://schemas.openxmlformats.org/officeDocument/2006/relationships/worksheet" Target="/xl/worksheets/sheet7.xml" Id="Radf61a42bc01484a" /></Relationships>
</file>

<file path=xl/tables/table1.xml><?xml version="1.0" encoding="utf-8"?>
<x:table xmlns:x="http://schemas.openxmlformats.org/spreadsheetml/2006/main" id="1" name="ConceptSummary" displayName="ConceptSummary" ref="A7:J14" totalsRowShown="0">
  <x:autoFilter ref="A7:J14"/>
  <x:tableColumns count="10">
    <x:tableColumn id="1" name="컨셉"/>
    <x:tableColumn id="2" name="전체"/>
    <x:tableColumn id="3" name="기존 제안"/>
    <x:tableColumn id="4" name="추가"/>
    <x:tableColumn id="5" name="일반"/>
    <x:tableColumn id="6" name="드문"/>
    <x:tableColumn id="7" name="희귀"/>
    <x:tableColumn id="8" name="영웅"/>
    <x:tableColumn id="9" name="전설"/>
    <x:tableColumn id="10" name="고유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SkillDesign" displayName="SkillDesign" ref="A1:O106" totalsRowShown="0" dataDxfId="1">
  <x:autoFilter ref="A1:O106"/>
  <x:tableColumns count="15">
    <x:tableColumn id="1" name="컨셉" dataDxfId="1"/>
    <x:tableColumn id="2" name="번호" dataDxfId="2"/>
    <x:tableColumn id="3" name="구분" dataDxfId="2"/>
    <x:tableColumn id="4" name="스킬명" dataDxfId="2"/>
    <x:tableColumn id="5" name="등급" dataDxfId="2"/>
    <x:tableColumn id="6" name="역할" dataDxfId="2"/>
    <x:tableColumn id="7" name="쿨타임(턴)" dataDxfId="3"/>
    <x:tableColumn id="8" name="행동력" dataDxfId="3"/>
    <x:tableColumn id="9" name="기본 타수" dataDxfId="3"/>
    <x:tableColumn id="10" name="대상" dataDxfId="2"/>
    <x:tableColumn id="11" name="레벨 1 효과" dataDxfId="4"/>
    <x:tableColumn id="12" name="레벨 강화" dataDxfId="2"/>
    <x:tableColumn id="13" name="표현 상태" dataDxfId="2"/>
    <x:tableColumn id="14" name="확장 명세" dataDxfId="2"/>
    <x:tableColumn id="15" name="skillId" dataDxfId="2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killsProposal" displayName="SkillsProposal" ref="A1:Y106" totalsRowShown="0">
  <x:autoFilter ref="A1:Y106"/>
  <x:tableColumns count="25">
    <x:tableColumn id="1" name="skillId"/>
    <x:tableColumn id="2" name="name"/>
    <x:tableColumn id="3" name="hitCount"/>
    <x:tableColumn id="4" name="cooldown"/>
    <x:tableColumn id="5" name="conditionJson"/>
    <x:tableColumn id="6" name="description"/>
    <x:tableColumn id="7" name="effectJson"/>
    <x:tableColumn id="8" name="rewardEnabled"/>
    <x:tableColumn id="9" name="type"/>
    <x:tableColumn id="10" name="target"/>
    <x:tableColumn id="11" name="baseValue"/>
    <x:tableColumn id="12" name="difficultyBonus"/>
    <x:tableColumn id="13" name="upgradeJson"/>
    <x:tableColumn id="14" name="actionPointCost"/>
    <x:tableColumn id="15" name="rarity"/>
    <x:tableColumn id="16" name="tags"/>
    <x:tableColumn id="17" name="attackEffect"/>
    <x:tableColumn id="18" name="concept"/>
    <x:tableColumn id="19" name="rarityLabel"/>
    <x:tableColumn id="20" name="role"/>
    <x:tableColumn id="21" name="proposalOrigin"/>
    <x:tableColumn id="22" name="implementationStatus"/>
    <x:tableColumn id="23" name="mechanicIds"/>
    <x:tableColumn id="24" name="upgradeDesign"/>
    <x:tableColumn id="25" name="rewardPlanned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ProposedEffects" displayName="ProposedEffects" ref="A1:V12" totalsRowShown="0">
  <x:autoFilter ref="A1:V12"/>
  <x:tableColumns count="22">
    <x:tableColumn id="1" name="effectId"/>
    <x:tableColumn id="2" name="name"/>
    <x:tableColumn id="3" name="category"/>
    <x:tableColumn id="4" name="baseValue"/>
    <x:tableColumn id="5" name="durationType"/>
    <x:tableColumn id="6" name="durationTurns"/>
    <x:tableColumn id="7" name="stackMode"/>
    <x:tableColumn id="8" name="maxStacks"/>
    <x:tableColumn id="9" name="reapplyDurationPolicy"/>
    <x:tableColumn id="10" name="durationClock"/>
    <x:tableColumn id="11" name="decayTiming"/>
    <x:tableColumn id="12" name="decayStacks"/>
    <x:tableColumn id="13" name="decrementOnApplyTurn"/>
    <x:tableColumn id="14" name="description"/>
    <x:tableColumn id="15" name="rulesVersion"/>
    <x:tableColumn id="16" name="statKey"/>
    <x:tableColumn id="17" name="effectType"/>
    <x:tableColumn id="18" name="value"/>
    <x:tableColumn id="19" name="stackable"/>
    <x:tableColumn id="20" name="triggerTiming"/>
    <x:tableColumn id="21" name="damageFormula"/>
    <x:tableColumn id="22" name="behaviorJson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ProposedEffectRules" displayName="ProposedEffectRules" ref="A1:I9" totalsRowShown="0">
  <x:autoFilter ref="A1:I9"/>
  <x:tableColumns count="9">
    <x:tableColumn id="1" name="effectId"/>
    <x:tableColumn id="2" name="ruleOrder"/>
    <x:tableColumn id="3" name="triggerTiming"/>
    <x:tableColumn id="4" name="operation"/>
    <x:tableColumn id="5" name="statKey"/>
    <x:tableColumn id="6" name="valueMode"/>
    <x:tableColumn id="7" name="valueFormula"/>
    <x:tableColumn id="8" name="shieldPolicy"/>
    <x:tableColumn id="9" name="description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ExtensionSpecs" displayName="ExtensionSpecs" ref="A1:H34" totalsRowShown="0">
  <x:autoFilter ref="A1:H34"/>
  <x:tableColumns count="8">
    <x:tableColumn id="1" name="명세 ID"/>
    <x:tableColumn id="2" name="기능"/>
    <x:tableColumn id="3" name="발동 시점"/>
    <x:tableColumn id="4" name="동작 규칙"/>
    <x:tableColumn id="5" name="현행과의 차이"/>
    <x:tableColumn id="6" name="관련 스킬"/>
    <x:tableColumn id="7" name="공통 기능 상태"/>
    <x:tableColumn id="8" name="남은 작업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DesignRules" displayName="DesignRules" ref="A1:B49" totalsRowShown="0">
  <x:autoFilter ref="A1:B49"/>
  <x:tableColumns count="2">
    <x:tableColumn id="1" name="항목"/>
    <x:tableColumn id="2" name="설계 기준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17fd2506404d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ec45595ce6b44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76306a75a0b49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7bf3a10cdb04c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ec9d213ba6b43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fb381238c6542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faed5a2d84b4a59" /></Relationships>
</file>

<file path=xl/worksheets/sheet1.xml><?xml version="1.0" encoding="utf-8"?>
<x:worksheet xmlns:x="http://schemas.openxmlformats.org/spreadsheetml/2006/main">
  <x:sheetPr>
    <x:tabColor rgb="FF24364B"/>
  </x:sheetPr>
  <x:sheetViews>
    <x:sheetView showGridLines="0" workbookViewId="0"/>
  </x:sheetViews>
  <x:sheetFormatPr defaultColWidth="9.00390625" defaultRowHeight="13.550000190734863"/>
  <x:cols>
    <x:col min="1" max="1" width="22" customWidth="1"/>
    <x:col min="2" max="2" width="10" customWidth="1"/>
    <x:col min="3" max="3" width="12" customWidth="1"/>
    <x:col min="4" max="10" width="10" customWidth="1"/>
  </x:cols>
  <x:sheetData>
    <x:row r="1" ht="2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8" customHeight="1">
      <x:c r="A2" s="2" t="s">
        <x:v>0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8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</x:row>
    <x:row r="4" ht="28" customHeight="1">
      <x:c r="A4" s="1" t="s">
        <x:v>1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 ht="28" customHeight="1">
      <x:c r="A5" s="1" t="s">
        <x:v>2</x:v>
      </x:c>
      <x:c r="B5" s="1"/>
      <x:c r="C5" s="1"/>
      <x:c r="D5" s="1"/>
      <x:c r="E5" s="1"/>
      <x:c r="F5" s="1"/>
      <x:c r="G5" s="1"/>
      <x:c r="H5" s="1"/>
      <x:c r="I5" s="1"/>
      <x:c r="J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ht="32" customHeight="1">
      <x:c r="A7" s="5" t="s">
        <x:v>3</x:v>
      </x:c>
      <x:c r="B7" s="6" t="s">
        <x:v>4</x:v>
      </x:c>
      <x:c r="C7" s="6" t="s">
        <x:v>5</x:v>
      </x:c>
      <x:c r="D7" s="6" t="s">
        <x:v>6</x:v>
      </x:c>
      <x:c r="E7" s="6" t="s">
        <x:v>7</x:v>
      </x:c>
      <x:c r="F7" s="6" t="s">
        <x:v>8</x:v>
      </x:c>
      <x:c r="G7" s="6" t="s">
        <x:v>9</x:v>
      </x:c>
      <x:c r="H7" s="6" t="s">
        <x:v>10</x:v>
      </x:c>
      <x:c r="I7" s="6" t="s">
        <x:v>11</x:v>
      </x:c>
      <x:c r="J7" s="7" t="s">
        <x:v>12</x:v>
      </x:c>
    </x:row>
    <x:row r="8" ht="28" customHeight="1">
      <x:c r="A8" s="9" t="s">
        <x:v>13</x:v>
      </x:c>
      <x:c r="B8" s="17">
        <x:f>COUNTIFS(Skills!$R$2:$R$106,A8)</x:f>
        <x:v>15</x:v>
      </x:c>
      <x:c r="C8" s="19">
        <x:f>COUNTIFS(Skills!$R$2:$R$106,A8,Skills!$U$2:$U$106,"기존 제안")</x:f>
        <x:v>10</x:v>
      </x:c>
      <x:c r="D8" s="17">
        <x:f>COUNTIFS(Skills!$R$2:$R$106,A8,Skills!$U$2:$U$106,"추가 5개")</x:f>
        <x:v>5</x:v>
      </x:c>
      <x:c r="E8" s="17">
        <x:f>COUNTIFS(Skills!$R$2:$R$106,$A8,Skills!$O$2:$O$106,"common")</x:f>
        <x:v>3</x:v>
      </x:c>
      <x:c r="F8" s="17">
        <x:f>COUNTIFS(Skills!$R$2:$R$106,$A8,Skills!$O$2:$O$106,"uncommon")</x:f>
        <x:v>4</x:v>
      </x:c>
      <x:c r="G8" s="17">
        <x:f>COUNTIFS(Skills!$R$2:$R$106,$A8,Skills!$O$2:$O$106,"rare")</x:f>
        <x:v>4</x:v>
      </x:c>
      <x:c r="H8" s="17">
        <x:f>COUNTIFS(Skills!$R$2:$R$106,$A8,Skills!$O$2:$O$106,"epic")</x:f>
        <x:v>2</x:v>
      </x:c>
      <x:c r="I8" s="17">
        <x:f>COUNTIFS(Skills!$R$2:$R$106,$A8,Skills!$O$2:$O$106,"legendary")</x:f>
        <x:v>1</x:v>
      </x:c>
      <x:c r="J8" s="17">
        <x:f>COUNTIFS(Skills!$R$2:$R$106,$A8,Skills!$O$2:$O$106,"unique")</x:f>
        <x:v>1</x:v>
      </x:c>
    </x:row>
    <x:row r="9" ht="28" customHeight="1">
      <x:c r="A9" s="10" t="s">
        <x:v>14</x:v>
      </x:c>
      <x:c r="B9" s="17">
        <x:f>COUNTIFS(Skills!$R$2:$R$106,A9)</x:f>
        <x:v>15</x:v>
      </x:c>
      <x:c r="C9" s="19">
        <x:f>COUNTIFS(Skills!$R$2:$R$106,A9,Skills!$U$2:$U$106,"기존 제안")</x:f>
        <x:v>10</x:v>
      </x:c>
      <x:c r="D9" s="17">
        <x:f>COUNTIFS(Skills!$R$2:$R$106,A9,Skills!$U$2:$U$106,"추가 5개")</x:f>
        <x:v>5</x:v>
      </x:c>
      <x:c r="E9" s="17">
        <x:f>COUNTIFS(Skills!$R$2:$R$106,$A9,Skills!$O$2:$O$106,"common")</x:f>
        <x:v>3</x:v>
      </x:c>
      <x:c r="F9" s="17">
        <x:f>COUNTIFS(Skills!$R$2:$R$106,$A9,Skills!$O$2:$O$106,"uncommon")</x:f>
        <x:v>4</x:v>
      </x:c>
      <x:c r="G9" s="17">
        <x:f>COUNTIFS(Skills!$R$2:$R$106,$A9,Skills!$O$2:$O$106,"rare")</x:f>
        <x:v>4</x:v>
      </x:c>
      <x:c r="H9" s="17">
        <x:f>COUNTIFS(Skills!$R$2:$R$106,$A9,Skills!$O$2:$O$106,"epic")</x:f>
        <x:v>2</x:v>
      </x:c>
      <x:c r="I9" s="17">
        <x:f>COUNTIFS(Skills!$R$2:$R$106,$A9,Skills!$O$2:$O$106,"legendary")</x:f>
        <x:v>1</x:v>
      </x:c>
      <x:c r="J9" s="17">
        <x:f>COUNTIFS(Skills!$R$2:$R$106,$A9,Skills!$O$2:$O$106,"unique")</x:f>
        <x:v>1</x:v>
      </x:c>
    </x:row>
    <x:row r="10" ht="28" customHeight="1">
      <x:c r="A10" s="11" t="s">
        <x:v>15</x:v>
      </x:c>
      <x:c r="B10" s="17">
        <x:f>COUNTIFS(Skills!$R$2:$R$106,A10)</x:f>
        <x:v>15</x:v>
      </x:c>
      <x:c r="C10" s="19">
        <x:f>COUNTIFS(Skills!$R$2:$R$106,A10,Skills!$U$2:$U$106,"기존 제안")</x:f>
        <x:v>10</x:v>
      </x:c>
      <x:c r="D10" s="17">
        <x:f>COUNTIFS(Skills!$R$2:$R$106,A10,Skills!$U$2:$U$106,"추가 5개")</x:f>
        <x:v>5</x:v>
      </x:c>
      <x:c r="E10" s="17">
        <x:f>COUNTIFS(Skills!$R$2:$R$106,$A10,Skills!$O$2:$O$106,"common")</x:f>
        <x:v>3</x:v>
      </x:c>
      <x:c r="F10" s="17">
        <x:f>COUNTIFS(Skills!$R$2:$R$106,$A10,Skills!$O$2:$O$106,"uncommon")</x:f>
        <x:v>4</x:v>
      </x:c>
      <x:c r="G10" s="17">
        <x:f>COUNTIFS(Skills!$R$2:$R$106,$A10,Skills!$O$2:$O$106,"rare")</x:f>
        <x:v>4</x:v>
      </x:c>
      <x:c r="H10" s="17">
        <x:f>COUNTIFS(Skills!$R$2:$R$106,$A10,Skills!$O$2:$O$106,"epic")</x:f>
        <x:v>2</x:v>
      </x:c>
      <x:c r="I10" s="17">
        <x:f>COUNTIFS(Skills!$R$2:$R$106,$A10,Skills!$O$2:$O$106,"legendary")</x:f>
        <x:v>1</x:v>
      </x:c>
      <x:c r="J10" s="17">
        <x:f>COUNTIFS(Skills!$R$2:$R$106,$A10,Skills!$O$2:$O$106,"unique")</x:f>
        <x:v>1</x:v>
      </x:c>
    </x:row>
    <x:row r="11" ht="28" customHeight="1">
      <x:c r="A11" s="12" t="s">
        <x:v>16</x:v>
      </x:c>
      <x:c r="B11" s="17">
        <x:f>COUNTIFS(Skills!$R$2:$R$106,A11)</x:f>
        <x:v>15</x:v>
      </x:c>
      <x:c r="C11" s="19">
        <x:f>COUNTIFS(Skills!$R$2:$R$106,A11,Skills!$U$2:$U$106,"기존 제안")</x:f>
        <x:v>10</x:v>
      </x:c>
      <x:c r="D11" s="17">
        <x:f>COUNTIFS(Skills!$R$2:$R$106,A11,Skills!$U$2:$U$106,"추가 5개")</x:f>
        <x:v>5</x:v>
      </x:c>
      <x:c r="E11" s="17">
        <x:f>COUNTIFS(Skills!$R$2:$R$106,$A11,Skills!$O$2:$O$106,"common")</x:f>
        <x:v>3</x:v>
      </x:c>
      <x:c r="F11" s="17">
        <x:f>COUNTIFS(Skills!$R$2:$R$106,$A11,Skills!$O$2:$O$106,"uncommon")</x:f>
        <x:v>4</x:v>
      </x:c>
      <x:c r="G11" s="17">
        <x:f>COUNTIFS(Skills!$R$2:$R$106,$A11,Skills!$O$2:$O$106,"rare")</x:f>
        <x:v>4</x:v>
      </x:c>
      <x:c r="H11" s="17">
        <x:f>COUNTIFS(Skills!$R$2:$R$106,$A11,Skills!$O$2:$O$106,"epic")</x:f>
        <x:v>2</x:v>
      </x:c>
      <x:c r="I11" s="17">
        <x:f>COUNTIFS(Skills!$R$2:$R$106,$A11,Skills!$O$2:$O$106,"legendary")</x:f>
        <x:v>1</x:v>
      </x:c>
      <x:c r="J11" s="17">
        <x:f>COUNTIFS(Skills!$R$2:$R$106,$A11,Skills!$O$2:$O$106,"unique")</x:f>
        <x:v>1</x:v>
      </x:c>
    </x:row>
    <x:row r="12" ht="28" customHeight="1">
      <x:c r="A12" s="13" t="s">
        <x:v>17</x:v>
      </x:c>
      <x:c r="B12" s="17">
        <x:f>COUNTIFS(Skills!$R$2:$R$106,A12)</x:f>
        <x:v>15</x:v>
      </x:c>
      <x:c r="C12" s="19">
        <x:f>COUNTIFS(Skills!$R$2:$R$106,A12,Skills!$U$2:$U$106,"기존 제안")</x:f>
        <x:v>10</x:v>
      </x:c>
      <x:c r="D12" s="17">
        <x:f>COUNTIFS(Skills!$R$2:$R$106,A12,Skills!$U$2:$U$106,"추가 5개")</x:f>
        <x:v>5</x:v>
      </x:c>
      <x:c r="E12" s="17">
        <x:f>COUNTIFS(Skills!$R$2:$R$106,$A12,Skills!$O$2:$O$106,"common")</x:f>
        <x:v>3</x:v>
      </x:c>
      <x:c r="F12" s="17">
        <x:f>COUNTIFS(Skills!$R$2:$R$106,$A12,Skills!$O$2:$O$106,"uncommon")</x:f>
        <x:v>4</x:v>
      </x:c>
      <x:c r="G12" s="17">
        <x:f>COUNTIFS(Skills!$R$2:$R$106,$A12,Skills!$O$2:$O$106,"rare")</x:f>
        <x:v>4</x:v>
      </x:c>
      <x:c r="H12" s="17">
        <x:f>COUNTIFS(Skills!$R$2:$R$106,$A12,Skills!$O$2:$O$106,"epic")</x:f>
        <x:v>2</x:v>
      </x:c>
      <x:c r="I12" s="17">
        <x:f>COUNTIFS(Skills!$R$2:$R$106,$A12,Skills!$O$2:$O$106,"legendary")</x:f>
        <x:v>1</x:v>
      </x:c>
      <x:c r="J12" s="17">
        <x:f>COUNTIFS(Skills!$R$2:$R$106,$A12,Skills!$O$2:$O$106,"unique")</x:f>
        <x:v>1</x:v>
      </x:c>
    </x:row>
    <x:row r="13" ht="28" customHeight="1">
      <x:c r="A13" s="14" t="s">
        <x:v>18</x:v>
      </x:c>
      <x:c r="B13" s="17">
        <x:f>COUNTIFS(Skills!$R$2:$R$106,A13)</x:f>
        <x:v>15</x:v>
      </x:c>
      <x:c r="C13" s="19">
        <x:f>COUNTIFS(Skills!$R$2:$R$106,A13,Skills!$U$2:$U$106,"기존 제안")</x:f>
        <x:v>10</x:v>
      </x:c>
      <x:c r="D13" s="17">
        <x:f>COUNTIFS(Skills!$R$2:$R$106,A13,Skills!$U$2:$U$106,"추가 5개")</x:f>
        <x:v>5</x:v>
      </x:c>
      <x:c r="E13" s="17">
        <x:f>COUNTIFS(Skills!$R$2:$R$106,$A13,Skills!$O$2:$O$106,"common")</x:f>
        <x:v>3</x:v>
      </x:c>
      <x:c r="F13" s="17">
        <x:f>COUNTIFS(Skills!$R$2:$R$106,$A13,Skills!$O$2:$O$106,"uncommon")</x:f>
        <x:v>4</x:v>
      </x:c>
      <x:c r="G13" s="17">
        <x:f>COUNTIFS(Skills!$R$2:$R$106,$A13,Skills!$O$2:$O$106,"rare")</x:f>
        <x:v>4</x:v>
      </x:c>
      <x:c r="H13" s="17">
        <x:f>COUNTIFS(Skills!$R$2:$R$106,$A13,Skills!$O$2:$O$106,"epic")</x:f>
        <x:v>2</x:v>
      </x:c>
      <x:c r="I13" s="17">
        <x:f>COUNTIFS(Skills!$R$2:$R$106,$A13,Skills!$O$2:$O$106,"legendary")</x:f>
        <x:v>1</x:v>
      </x:c>
      <x:c r="J13" s="17">
        <x:f>COUNTIFS(Skills!$R$2:$R$106,$A13,Skills!$O$2:$O$106,"unique")</x:f>
        <x:v>1</x:v>
      </x:c>
    </x:row>
    <x:row r="14" ht="28" customHeight="1">
      <x:c r="A14" s="15" t="s">
        <x:v>19</x:v>
      </x:c>
      <x:c r="B14" s="17">
        <x:f>COUNTIFS(Skills!$R$2:$R$106,A14)</x:f>
        <x:v>15</x:v>
      </x:c>
      <x:c r="C14" s="19">
        <x:f>COUNTIFS(Skills!$R$2:$R$106,A14,Skills!$U$2:$U$106,"기존 제안")</x:f>
        <x:v>10</x:v>
      </x:c>
      <x:c r="D14" s="17">
        <x:f>COUNTIFS(Skills!$R$2:$R$106,A14,Skills!$U$2:$U$106,"추가 5개")</x:f>
        <x:v>5</x:v>
      </x:c>
      <x:c r="E14" s="17">
        <x:f>COUNTIFS(Skills!$R$2:$R$106,$A14,Skills!$O$2:$O$106,"common")</x:f>
        <x:v>3</x:v>
      </x:c>
      <x:c r="F14" s="17">
        <x:f>COUNTIFS(Skills!$R$2:$R$106,$A14,Skills!$O$2:$O$106,"uncommon")</x:f>
        <x:v>4</x:v>
      </x:c>
      <x:c r="G14" s="17">
        <x:f>COUNTIFS(Skills!$R$2:$R$106,$A14,Skills!$O$2:$O$106,"rare")</x:f>
        <x:v>4</x:v>
      </x:c>
      <x:c r="H14" s="17">
        <x:f>COUNTIFS(Skills!$R$2:$R$106,$A14,Skills!$O$2:$O$106,"epic")</x:f>
        <x:v>2</x:v>
      </x:c>
      <x:c r="I14" s="17">
        <x:f>COUNTIFS(Skills!$R$2:$R$106,$A14,Skills!$O$2:$O$106,"legendary")</x:f>
        <x:v>1</x:v>
      </x:c>
      <x:c r="J14" s="17">
        <x:f>COUNTIFS(Skills!$R$2:$R$106,$A14,Skills!$O$2:$O$106,"unique")</x:f>
        <x:v>1</x:v>
      </x:c>
    </x:row>
    <x:row r="15" ht="30" customHeight="1">
      <x:c r="A15" s="16" t="s">
        <x:v>20</x:v>
      </x:c>
      <x:c r="B15" s="18">
        <x:f>SUM(B8:B14)</x:f>
        <x:v>105</x:v>
      </x:c>
      <x:c r="C15" s="20">
        <x:f>SUM(C8:C14)</x:f>
        <x:v>70</x:v>
      </x:c>
      <x:c r="D15" s="18">
        <x:f>SUM(D8:D14)</x:f>
        <x:v>35</x:v>
      </x:c>
      <x:c r="E15" s="18">
        <x:f>SUM(E8:E14)</x:f>
        <x:v>21</x:v>
      </x:c>
      <x:c r="F15" s="18">
        <x:f>SUM(F8:F14)</x:f>
        <x:v>28</x:v>
      </x:c>
      <x:c r="G15" s="18">
        <x:f>SUM(G8:G14)</x:f>
        <x:v>28</x:v>
      </x:c>
      <x:c r="H15" s="18">
        <x:f>SUM(H8:H14)</x:f>
        <x:v>14</x:v>
      </x:c>
      <x:c r="I15" s="18">
        <x:f>SUM(I8:I14)</x:f>
        <x:v>7</x:v>
      </x:c>
      <x:c r="J15" s="18">
        <x:f>SUM(J8:J14)</x:f>
        <x:v>7</x:v>
      </x:c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28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 ht="30" customHeight="1">
      <x:c r="A18" s="4" t="s">
        <x:v>21</x:v>
      </x:c>
      <x:c r="B18" s="4" t="s">
        <x:v>22</x:v>
      </x:c>
      <x:c r="C18" s="4" t="s">
        <x:v>23</x:v>
      </x:c>
      <x:c r="D18" s="1"/>
      <x:c r="E18" s="1"/>
      <x:c r="F18" s="1"/>
      <x:c r="G18" s="1"/>
      <x:c r="H18" s="1"/>
      <x:c r="I18" s="1"/>
      <x:c r="J18" s="1"/>
    </x:row>
    <x:row r="19" ht="76" customHeight="1">
      <x:c r="A19" s="1" t="s">
        <x:v>24</x:v>
      </x:c>
      <x:c r="B19" s="1">
        <x:f>COUNTIFS(Skills!$V$2:$V$106,A19)</x:f>
        <x:v>6</x:v>
      </x:c>
      <x:c r="C19" s="21" t="s">
        <x:v>25</x:v>
      </x:c>
      <x:c r="D19" s="1"/>
      <x:c r="E19" s="1"/>
      <x:c r="F19" s="1"/>
      <x:c r="G19" s="1"/>
      <x:c r="H19" s="1"/>
      <x:c r="I19" s="1"/>
      <x:c r="J19" s="1"/>
    </x:row>
    <x:row r="20" ht="76" customHeight="1">
      <x:c r="A20" s="1" t="s">
        <x:v>26</x:v>
      </x:c>
      <x:c r="B20" s="1">
        <x:f>COUNTIFS(Skills!$V$2:$V$106,A20)</x:f>
        <x:v>15</x:v>
      </x:c>
      <x:c r="C20" s="21" t="s">
        <x:v>27</x:v>
      </x:c>
      <x:c r="D20" s="1"/>
      <x:c r="E20" s="1"/>
      <x:c r="F20" s="1"/>
      <x:c r="G20" s="1"/>
      <x:c r="H20" s="1"/>
      <x:c r="I20" s="1"/>
      <x:c r="J20" s="1"/>
    </x:row>
    <x:row r="21" ht="76" customHeight="1">
      <x:c r="A21" s="1" t="str">
        <x:v>개별 연계 구현 필요</x:v>
      </x:c>
      <x:c r="B21" s="1">
        <x:f>COUNTIFS(Skills!$V$2:$V$106,A21)</x:f>
        <x:v>73</x:v>
      </x:c>
      <x:c r="C21" s="21" t="str">
        <x:v>공통 기반 외 개별 동작 연결이 남은 후보</x:v>
      </x:c>
      <x:c r="D21" s="1"/>
      <x:c r="E21" s="1"/>
      <x:c r="F21" s="1"/>
      <x:c r="G21" s="1"/>
      <x:c r="H21" s="1"/>
      <x:c r="I21" s="1"/>
      <x:c r="J21" s="1"/>
    </x:row>
    <x:row r="22" ht="76" customHeight="1">
      <x:c r="A22" s="1" t="str">
        <x:v>공통 확장 조합</x:v>
      </x:c>
      <x:c r="B22" s="1" t="n">
        <x:f>COUNTIFS(Skills!$V$2:$V$106,A22)</x:f>
        <x:v>11</x:v>
      </x:c>
      <x:c r="C22" s="1" t="str">
        <x:v>추가된 공통 동작으로 표현한 후보</x:v>
      </x:c>
      <x:c r="D22" s="1"/>
      <x:c r="E22" s="1"/>
      <x:c r="F22" s="1"/>
      <x:c r="G22" s="1"/>
      <x:c r="H22" s="1"/>
      <x:c r="I22" s="1"/>
      <x:c r="J22" s="1"/>
    </x:row>
    <x:row r="23" ht="2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 ht="25" customHeight="1">
      <x:c r="A24" s="1" t="s">
        <x:v>28</x:v>
      </x:c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25" customHeight="1">
      <x:c r="A26" s="1" t="s">
        <x:v>29</x:v>
      </x:c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25" customHeight="1">
      <x:c r="A28" s="1" t="s">
        <x:v>30</x:v>
      </x:c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</x:sheetData>
  <x:pageMargins left="0.7" right="0.7" top="0.75" bottom="0.75" header="0.3" footer="0.3"/>
  <x:tableParts count="1">
    <x:tablePart xmlns:r="http://schemas.openxmlformats.org/officeDocument/2006/relationships" r:id="R5917fd2506404d8f"/>
  </x:tableParts>
</x:worksheet>
</file>

<file path=xl/worksheets/sheet2.xml><?xml version="1.0" encoding="utf-8"?>
<x:worksheet xmlns:x="http://schemas.openxmlformats.org/spreadsheetml/2006/main">
  <x:sheetPr>
    <x:tabColor rgb="FF445F7E"/>
  </x:sheetPr>
  <x:sheetViews>
    <x:sheetView showGridLines="0" workbookViewId="0">
      <x:pane xSplit="4" ySplit="1" topLeftCell="E2" activePane="bottomRight" state="frozen"/>
    </x:sheetView>
  </x:sheetViews>
  <x:sheetFormatPr defaultColWidth="9.00390625" defaultRowHeight="13.550000190734863"/>
  <x:cols>
    <x:col min="1" max="1" width="10" customWidth="1"/>
    <x:col min="2" max="2" width="7" customWidth="1"/>
    <x:col min="3" max="3" width="12" customWidth="1"/>
    <x:col min="4" max="4" width="20" customWidth="1"/>
    <x:col min="5" max="5" width="9" customWidth="1"/>
    <x:col min="6" max="6" width="17" customWidth="1"/>
    <x:col min="7" max="7" width="11" customWidth="1"/>
    <x:col min="8" max="9" width="9" customWidth="1"/>
    <x:col min="10" max="10" width="13" customWidth="1"/>
    <x:col min="11" max="11" width="76" customWidth="1"/>
    <x:col min="12" max="12" width="43" customWidth="1"/>
    <x:col min="13" max="13" width="20" customWidth="1"/>
    <x:col min="14" max="14" width="22" customWidth="1"/>
    <x:col min="15" max="15" width="31" customWidth="1"/>
  </x:cols>
  <x:sheetData>
    <x:row r="1" ht="32" customHeight="1">
      <x:c r="A1" s="5" t="s">
        <x:v>3</x:v>
      </x:c>
      <x:c r="B1" s="6" t="s">
        <x:v>31</x:v>
      </x:c>
      <x:c r="C1" s="6" t="s">
        <x:v>32</x:v>
      </x:c>
      <x:c r="D1" s="6" t="s">
        <x:v>33</x:v>
      </x:c>
      <x:c r="E1" s="6" t="s">
        <x:v>34</x:v>
      </x:c>
      <x:c r="F1" s="6" t="s">
        <x:v>35</x:v>
      </x:c>
      <x:c r="G1" s="6" t="s">
        <x:v>36</x:v>
      </x:c>
      <x:c r="H1" s="6" t="s">
        <x:v>37</x:v>
      </x:c>
      <x:c r="I1" s="6" t="s">
        <x:v>38</x:v>
      </x:c>
      <x:c r="J1" s="6" t="s">
        <x:v>39</x:v>
      </x:c>
      <x:c r="K1" s="6" t="s">
        <x:v>40</x:v>
      </x:c>
      <x:c r="L1" s="6" t="s">
        <x:v>41</x:v>
      </x:c>
      <x:c r="M1" s="6" t="s">
        <x:v>21</x:v>
      </x:c>
      <x:c r="N1" s="6" t="s">
        <x:v>42</x:v>
      </x:c>
      <x:c r="O1" s="7" t="s">
        <x:v>43</x:v>
      </x:c>
    </x:row>
    <x:row r="2" ht="58" customHeight="1">
      <x:c r="A2" s="22" t="s">
        <x:v>13</x:v>
      </x:c>
      <x:c r="B2" s="23">
        <x:v>1</x:v>
      </x:c>
      <x:c r="C2" s="23" t="s">
        <x:v>5</x:v>
      </x:c>
      <x:c r="D2" s="23" t="s">
        <x:v>44</x:v>
      </x:c>
      <x:c r="E2" s="23" t="s">
        <x:v>7</x:v>
      </x:c>
      <x:c r="F2" s="23" t="s">
        <x:v>45</x:v>
      </x:c>
      <x:c r="G2" s="24">
        <x:v>1</x:v>
      </x:c>
      <x:c r="H2" s="24">
        <x:v>0</x:v>
      </x:c>
      <x:c r="I2" s="24">
        <x:v>2</x:v>
      </x:c>
      <x:c r="J2" s="23" t="s">
        <x:v>46</x:v>
      </x:c>
      <x:c r="K2" s="29" t="str">
        <x:v>적 하나를 2회 공격한다. 각 타격 피해는 공격력의 50%+2. 쿨타임 1턴·행동력 0으로 타격 연계를 시작한다.</x:v>
      </x:c>
      <x:c r="L2" s="23" t="s">
        <x:v>47</x:v>
      </x:c>
      <x:c r="M2" s="23" t="s">
        <x:v>24</x:v>
      </x:c>
      <x:c r="N2" s="23"/>
      <x:c r="O2" s="23" t="s">
        <x:v>48</x:v>
      </x:c>
    </x:row>
    <x:row r="3" ht="58" customHeight="1">
      <x:c r="A3" s="22" t="s">
        <x:v>13</x:v>
      </x:c>
      <x:c r="B3" s="23">
        <x:v>2</x:v>
      </x:c>
      <x:c r="C3" s="23" t="s">
        <x:v>5</x:v>
      </x:c>
      <x:c r="D3" s="23" t="s">
        <x:v>49</x:v>
      </x:c>
      <x:c r="E3" s="23" t="s">
        <x:v>7</x:v>
      </x:c>
      <x:c r="F3" s="23" t="s">
        <x:v>50</x:v>
      </x:c>
      <x:c r="G3" s="24">
        <x:v>1</x:v>
      </x:c>
      <x:c r="H3" s="24">
        <x:v>1</x:v>
      </x:c>
      <x:c r="I3" s="24">
        <x:v>2</x:v>
      </x:c>
      <x:c r="J3" s="23" t="s">
        <x:v>46</x:v>
      </x:c>
      <x:c r="K3" s="23" t="s">
        <x:v>51</x:v>
      </x:c>
      <x:c r="L3" s="23" t="s">
        <x:v>47</x:v>
      </x:c>
      <x:c r="M3" s="23" t="str">
        <x:v>개별 연계 구현 필요</x:v>
      </x:c>
      <x:c r="N3" s="23" t="s">
        <x:v>52</x:v>
      </x:c>
      <x:c r="O3" s="23" t="s">
        <x:v>53</x:v>
      </x:c>
    </x:row>
    <x:row r="4" ht="58" customHeight="1">
      <x:c r="A4" s="22" t="s">
        <x:v>13</x:v>
      </x:c>
      <x:c r="B4" s="23">
        <x:v>3</x:v>
      </x:c>
      <x:c r="C4" s="23" t="s">
        <x:v>5</x:v>
      </x:c>
      <x:c r="D4" s="23" t="s">
        <x:v>54</x:v>
      </x:c>
      <x:c r="E4" s="23" t="s">
        <x:v>8</x:v>
      </x:c>
      <x:c r="F4" s="23" t="s">
        <x:v>55</x:v>
      </x:c>
      <x:c r="G4" s="24">
        <x:v>1</x:v>
      </x:c>
      <x:c r="H4" s="24">
        <x:v>1</x:v>
      </x:c>
      <x:c r="I4" s="24">
        <x:v>2</x:v>
      </x:c>
      <x:c r="J4" s="23" t="s">
        <x:v>46</x:v>
      </x:c>
      <x:c r="K4" s="23" t="s">
        <x:v>56</x:v>
      </x:c>
      <x:c r="L4" s="23" t="s">
        <x:v>57</x:v>
      </x:c>
      <x:c r="M4" s="23" t="str">
        <x:v>개별 연계 구현 필요</x:v>
      </x:c>
      <x:c r="N4" s="23" t="s">
        <x:v>52</x:v>
      </x:c>
      <x:c r="O4" s="23" t="s">
        <x:v>58</x:v>
      </x:c>
    </x:row>
    <x:row r="5" ht="58" customHeight="1">
      <x:c r="A5" s="22" t="s">
        <x:v>13</x:v>
      </x:c>
      <x:c r="B5" s="23">
        <x:v>4</x:v>
      </x:c>
      <x:c r="C5" s="23" t="s">
        <x:v>5</x:v>
      </x:c>
      <x:c r="D5" s="23" t="s">
        <x:v>59</x:v>
      </x:c>
      <x:c r="E5" s="23" t="s">
        <x:v>8</x:v>
      </x:c>
      <x:c r="F5" s="23" t="s">
        <x:v>60</x:v>
      </x:c>
      <x:c r="G5" s="24">
        <x:v>1</x:v>
      </x:c>
      <x:c r="H5" s="24">
        <x:v>1</x:v>
      </x:c>
      <x:c r="I5" s="24">
        <x:v>3</x:v>
      </x:c>
      <x:c r="J5" s="23" t="s">
        <x:v>46</x:v>
      </x:c>
      <x:c r="K5" s="23" t="s">
        <x:v>61</x:v>
      </x:c>
      <x:c r="L5" s="23" t="s">
        <x:v>62</x:v>
      </x:c>
      <x:c r="M5" s="23" t="str">
        <x:v>개별 연계 구현 필요</x:v>
      </x:c>
      <x:c r="N5" s="23" t="s">
        <x:v>63</x:v>
      </x:c>
      <x:c r="O5" s="23" t="s">
        <x:v>64</x:v>
      </x:c>
    </x:row>
    <x:row r="6" ht="58" customHeight="1">
      <x:c r="A6" s="22" t="s">
        <x:v>13</x:v>
      </x:c>
      <x:c r="B6" s="23">
        <x:v>5</x:v>
      </x:c>
      <x:c r="C6" s="23" t="s">
        <x:v>5</x:v>
      </x:c>
      <x:c r="D6" s="23" t="s">
        <x:v>65</x:v>
      </x:c>
      <x:c r="E6" s="23" t="s">
        <x:v>9</x:v>
      </x:c>
      <x:c r="F6" s="23" t="s">
        <x:v>66</x:v>
      </x:c>
      <x:c r="G6" s="24">
        <x:v>2</x:v>
      </x:c>
      <x:c r="H6" s="24">
        <x:v>2</x:v>
      </x:c>
      <x:c r="I6" s="24">
        <x:v>5</x:v>
      </x:c>
      <x:c r="J6" s="23" t="s">
        <x:v>67</x:v>
      </x:c>
      <x:c r="K6" s="23" t="s">
        <x:v>68</x:v>
      </x:c>
      <x:c r="L6" s="23" t="s">
        <x:v>47</x:v>
      </x:c>
      <x:c r="M6" s="23" t="s">
        <x:v>24</x:v>
      </x:c>
      <x:c r="N6" s="23"/>
      <x:c r="O6" s="23" t="s">
        <x:v>69</x:v>
      </x:c>
    </x:row>
    <x:row r="7" ht="58" customHeight="1">
      <x:c r="A7" s="22" t="s">
        <x:v>13</x:v>
      </x:c>
      <x:c r="B7" s="23">
        <x:v>6</x:v>
      </x:c>
      <x:c r="C7" s="23" t="s">
        <x:v>5</x:v>
      </x:c>
      <x:c r="D7" s="23" t="s">
        <x:v>70</x:v>
      </x:c>
      <x:c r="E7" s="23" t="s">
        <x:v>7</x:v>
      </x:c>
      <x:c r="F7" s="23" t="s">
        <x:v>71</x:v>
      </x:c>
      <x:c r="G7" s="24">
        <x:v>1</x:v>
      </x:c>
      <x:c r="H7" s="24">
        <x:v>1</x:v>
      </x:c>
      <x:c r="I7" s="24">
        <x:v>0</x:v>
      </x:c>
      <x:c r="J7" s="23" t="s">
        <x:v>72</x:v>
      </x:c>
      <x:c r="K7" s="23" t="s">
        <x:v>73</x:v>
      </x:c>
      <x:c r="L7" s="23" t="s">
        <x:v>74</x:v>
      </x:c>
      <x:c r="M7" s="23" t="str">
        <x:v>개별 연계 구현 필요</x:v>
      </x:c>
      <x:c r="N7" s="23" t="s">
        <x:v>75</x:v>
      </x:c>
      <x:c r="O7" s="23" t="s">
        <x:v>76</x:v>
      </x:c>
    </x:row>
    <x:row r="8" ht="58" customHeight="1">
      <x:c r="A8" s="22" t="s">
        <x:v>13</x:v>
      </x:c>
      <x:c r="B8" s="23">
        <x:v>7</x:v>
      </x:c>
      <x:c r="C8" s="23" t="s">
        <x:v>5</x:v>
      </x:c>
      <x:c r="D8" s="23" t="s">
        <x:v>77</x:v>
      </x:c>
      <x:c r="E8" s="23" t="s">
        <x:v>9</x:v>
      </x:c>
      <x:c r="F8" s="23" t="s">
        <x:v>78</x:v>
      </x:c>
      <x:c r="G8" s="24">
        <x:v>1</x:v>
      </x:c>
      <x:c r="H8" s="24">
        <x:v>0</x:v>
      </x:c>
      <x:c r="I8" s="24">
        <x:v>0</x:v>
      </x:c>
      <x:c r="J8" s="23" t="s">
        <x:v>72</x:v>
      </x:c>
      <x:c r="K8" s="23" t="s">
        <x:v>79</x:v>
      </x:c>
      <x:c r="L8" s="23" t="s">
        <x:v>80</x:v>
      </x:c>
      <x:c r="M8" s="23" t="str">
        <x:v>개별 연계 구현 필요</x:v>
      </x:c>
      <x:c r="N8" s="23" t="s">
        <x:v>81</x:v>
      </x:c>
      <x:c r="O8" s="23" t="s">
        <x:v>82</x:v>
      </x:c>
    </x:row>
    <x:row r="9" ht="58" customHeight="1">
      <x:c r="A9" s="22" t="s">
        <x:v>13</x:v>
      </x:c>
      <x:c r="B9" s="23">
        <x:v>8</x:v>
      </x:c>
      <x:c r="C9" s="23" t="s">
        <x:v>5</x:v>
      </x:c>
      <x:c r="D9" s="23" t="s">
        <x:v>83</x:v>
      </x:c>
      <x:c r="E9" s="23" t="s">
        <x:v>8</x:v>
      </x:c>
      <x:c r="F9" s="23" t="s">
        <x:v>84</x:v>
      </x:c>
      <x:c r="G9" s="24">
        <x:v>2</x:v>
      </x:c>
      <x:c r="H9" s="24">
        <x:v>1</x:v>
      </x:c>
      <x:c r="I9" s="24">
        <x:v>1</x:v>
      </x:c>
      <x:c r="J9" s="23" t="s">
        <x:v>46</x:v>
      </x:c>
      <x:c r="K9" s="23" t="s">
        <x:v>85</x:v>
      </x:c>
      <x:c r="L9" s="23" t="s">
        <x:v>86</x:v>
      </x:c>
      <x:c r="M9" s="23" t="str">
        <x:v>개별 연계 구현 필요</x:v>
      </x:c>
      <x:c r="N9" s="23" t="s">
        <x:v>87</x:v>
      </x:c>
      <x:c r="O9" s="23" t="s">
        <x:v>88</x:v>
      </x:c>
    </x:row>
    <x:row r="10" ht="58" customHeight="1">
      <x:c r="A10" s="22" t="s">
        <x:v>13</x:v>
      </x:c>
      <x:c r="B10" s="23">
        <x:v>9</x:v>
      </x:c>
      <x:c r="C10" s="23" t="s">
        <x:v>5</x:v>
      </x:c>
      <x:c r="D10" s="23" t="s">
        <x:v>89</x:v>
      </x:c>
      <x:c r="E10" s="23" t="s">
        <x:v>10</x:v>
      </x:c>
      <x:c r="F10" s="23" t="s">
        <x:v>90</x:v>
      </x:c>
      <x:c r="G10" s="24">
        <x:v>2</x:v>
      </x:c>
      <x:c r="H10" s="24">
        <x:v>2</x:v>
      </x:c>
      <x:c r="I10" s="24">
        <x:v>4</x:v>
      </x:c>
      <x:c r="J10" s="23" t="s">
        <x:v>46</x:v>
      </x:c>
      <x:c r="K10" s="23" t="s">
        <x:v>91</x:v>
      </x:c>
      <x:c r="L10" s="23" t="s">
        <x:v>92</x:v>
      </x:c>
      <x:c r="M10" s="23" t="str">
        <x:v>개별 연계 구현 필요</x:v>
      </x:c>
      <x:c r="N10" s="23" t="s">
        <x:v>52</x:v>
      </x:c>
      <x:c r="O10" s="23" t="s">
        <x:v>93</x:v>
      </x:c>
    </x:row>
    <x:row r="11" ht="58" customHeight="1">
      <x:c r="A11" s="22" t="s">
        <x:v>13</x:v>
      </x:c>
      <x:c r="B11" s="23">
        <x:v>10</x:v>
      </x:c>
      <x:c r="C11" s="23" t="s">
        <x:v>5</x:v>
      </x:c>
      <x:c r="D11" s="23" t="s">
        <x:v>94</x:v>
      </x:c>
      <x:c r="E11" s="23" t="s">
        <x:v>11</x:v>
      </x:c>
      <x:c r="F11" s="23" t="s">
        <x:v>95</x:v>
      </x:c>
      <x:c r="G11" s="24">
        <x:v>4</x:v>
      </x:c>
      <x:c r="H11" s="24">
        <x:v>2</x:v>
      </x:c>
      <x:c r="I11" s="24">
        <x:v>6</x:v>
      </x:c>
      <x:c r="J11" s="23" t="s">
        <x:v>46</x:v>
      </x:c>
      <x:c r="K11" s="23" t="s">
        <x:v>96</x:v>
      </x:c>
      <x:c r="L11" s="23" t="s">
        <x:v>47</x:v>
      </x:c>
      <x:c r="M11" s="23" t="str">
        <x:v>개별 연계 구현 필요</x:v>
      </x:c>
      <x:c r="N11" s="23" t="s">
        <x:v>52</x:v>
      </x:c>
      <x:c r="O11" s="23" t="s">
        <x:v>97</x:v>
      </x:c>
    </x:row>
    <x:row r="12" ht="58" customHeight="1">
      <x:c r="A12" s="22" t="s">
        <x:v>13</x:v>
      </x:c>
      <x:c r="B12" s="23">
        <x:v>11</x:v>
      </x:c>
      <x:c r="C12" s="23" t="s">
        <x:v>98</x:v>
      </x:c>
      <x:c r="D12" s="23" t="s">
        <x:v>99</x:v>
      </x:c>
      <x:c r="E12" s="23" t="s">
        <x:v>8</x:v>
      </x:c>
      <x:c r="F12" s="23" t="s">
        <x:v>100</x:v>
      </x:c>
      <x:c r="G12" s="24">
        <x:v>1</x:v>
      </x:c>
      <x:c r="H12" s="24">
        <x:v>1</x:v>
      </x:c>
      <x:c r="I12" s="24">
        <x:v>2</x:v>
      </x:c>
      <x:c r="J12" s="23" t="s">
        <x:v>46</x:v>
      </x:c>
      <x:c r="K12" s="23" t="s">
        <x:v>101</x:v>
      </x:c>
      <x:c r="L12" s="23" t="s">
        <x:v>102</x:v>
      </x:c>
      <x:c r="M12" s="23" t="s">
        <x:v>26</x:v>
      </x:c>
      <x:c r="N12" s="23"/>
      <x:c r="O12" s="23" t="s">
        <x:v>103</x:v>
      </x:c>
    </x:row>
    <x:row r="13" ht="58" customHeight="1">
      <x:c r="A13" s="22" t="s">
        <x:v>13</x:v>
      </x:c>
      <x:c r="B13" s="23">
        <x:v>12</x:v>
      </x:c>
      <x:c r="C13" s="23" t="s">
        <x:v>98</x:v>
      </x:c>
      <x:c r="D13" s="23" t="s">
        <x:v>104</x:v>
      </x:c>
      <x:c r="E13" s="23" t="s">
        <x:v>9</x:v>
      </x:c>
      <x:c r="F13" s="23" t="s">
        <x:v>105</x:v>
      </x:c>
      <x:c r="G13" s="24">
        <x:v>2</x:v>
      </x:c>
      <x:c r="H13" s="24">
        <x:v>2</x:v>
      </x:c>
      <x:c r="I13" s="24">
        <x:v>2</x:v>
      </x:c>
      <x:c r="J13" s="23" t="s">
        <x:v>106</x:v>
      </x:c>
      <x:c r="K13" s="23" t="s">
        <x:v>107</x:v>
      </x:c>
      <x:c r="L13" s="23" t="s">
        <x:v>47</x:v>
      </x:c>
      <x:c r="M13" s="23" t="s">
        <x:v>24</x:v>
      </x:c>
      <x:c r="N13" s="23"/>
      <x:c r="O13" s="23" t="s">
        <x:v>108</x:v>
      </x:c>
    </x:row>
    <x:row r="14" ht="58" customHeight="1">
      <x:c r="A14" s="22" t="s">
        <x:v>13</x:v>
      </x:c>
      <x:c r="B14" s="23">
        <x:v>13</x:v>
      </x:c>
      <x:c r="C14" s="23" t="s">
        <x:v>98</x:v>
      </x:c>
      <x:c r="D14" s="23" t="s">
        <x:v>109</x:v>
      </x:c>
      <x:c r="E14" s="23" t="s">
        <x:v>9</x:v>
      </x:c>
      <x:c r="F14" s="23" t="s">
        <x:v>110</x:v>
      </x:c>
      <x:c r="G14" s="24">
        <x:v>3</x:v>
      </x:c>
      <x:c r="H14" s="24">
        <x:v>1</x:v>
      </x:c>
      <x:c r="I14" s="24">
        <x:v>0</x:v>
      </x:c>
      <x:c r="J14" s="23" t="s">
        <x:v>72</x:v>
      </x:c>
      <x:c r="K14" s="23" t="s">
        <x:v>111</x:v>
      </x:c>
      <x:c r="L14" s="23" t="s">
        <x:v>112</x:v>
      </x:c>
      <x:c r="M14" s="23" t="str">
        <x:v>개별 연계 구현 필요</x:v>
      </x:c>
      <x:c r="N14" s="23" t="s">
        <x:v>113</x:v>
      </x:c>
      <x:c r="O14" s="23" t="s">
        <x:v>114</x:v>
      </x:c>
    </x:row>
    <x:row r="15" ht="58" customHeight="1">
      <x:c r="A15" s="22" t="s">
        <x:v>13</x:v>
      </x:c>
      <x:c r="B15" s="23">
        <x:v>14</x:v>
      </x:c>
      <x:c r="C15" s="23" t="s">
        <x:v>98</x:v>
      </x:c>
      <x:c r="D15" s="23" t="s">
        <x:v>115</x:v>
      </x:c>
      <x:c r="E15" s="23" t="s">
        <x:v>12</x:v>
      </x:c>
      <x:c r="F15" s="23" t="s">
        <x:v>116</x:v>
      </x:c>
      <x:c r="G15" s="24">
        <x:v>4</x:v>
      </x:c>
      <x:c r="H15" s="24">
        <x:v>1</x:v>
      </x:c>
      <x:c r="I15" s="24">
        <x:v>0</x:v>
      </x:c>
      <x:c r="J15" s="23" t="s">
        <x:v>72</x:v>
      </x:c>
      <x:c r="K15" s="23" t="s">
        <x:v>117</x:v>
      </x:c>
      <x:c r="L15" s="23" t="s">
        <x:v>80</x:v>
      </x:c>
      <x:c r="M15" s="23" t="str">
        <x:v>개별 연계 구현 필요</x:v>
      </x:c>
      <x:c r="N15" s="23" t="s">
        <x:v>52</x:v>
      </x:c>
      <x:c r="O15" s="23" t="s">
        <x:v>118</x:v>
      </x:c>
    </x:row>
    <x:row r="16" ht="58" customHeight="1">
      <x:c r="A16" s="22" t="s">
        <x:v>13</x:v>
      </x:c>
      <x:c r="B16" s="23">
        <x:v>15</x:v>
      </x:c>
      <x:c r="C16" s="23" t="s">
        <x:v>98</x:v>
      </x:c>
      <x:c r="D16" s="23" t="s">
        <x:v>119</x:v>
      </x:c>
      <x:c r="E16" s="23" t="s">
        <x:v>10</x:v>
      </x:c>
      <x:c r="F16" s="23" t="s">
        <x:v>120</x:v>
      </x:c>
      <x:c r="G16" s="24">
        <x:v>5</x:v>
      </x:c>
      <x:c r="H16" s="24">
        <x:v>3</x:v>
      </x:c>
      <x:c r="I16" s="24">
        <x:v>8</x:v>
      </x:c>
      <x:c r="J16" s="23" t="s">
        <x:v>46</x:v>
      </x:c>
      <x:c r="K16" s="23" t="s">
        <x:v>121</x:v>
      </x:c>
      <x:c r="L16" s="23" t="s">
        <x:v>47</x:v>
      </x:c>
      <x:c r="M16" s="23" t="str">
        <x:v>개별 연계 구현 필요</x:v>
      </x:c>
      <x:c r="N16" s="23" t="s">
        <x:v>52</x:v>
      </x:c>
      <x:c r="O16" s="23" t="s">
        <x:v>122</x:v>
      </x:c>
    </x:row>
    <x:row r="17" ht="58" customHeight="1">
      <x:c r="A17" s="26" t="s">
        <x:v>14</x:v>
      </x:c>
      <x:c r="B17" s="23">
        <x:v>1</x:v>
      </x:c>
      <x:c r="C17" s="23" t="s">
        <x:v>5</x:v>
      </x:c>
      <x:c r="D17" s="23" t="s">
        <x:v>123</x:v>
      </x:c>
      <x:c r="E17" s="23" t="s">
        <x:v>7</x:v>
      </x:c>
      <x:c r="F17" s="23" t="s">
        <x:v>124</x:v>
      </x:c>
      <x:c r="G17" s="24">
        <x:v>3</x:v>
      </x:c>
      <x:c r="H17" s="24">
        <x:v>1</x:v>
      </x:c>
      <x:c r="I17" s="24">
        <x:v>1</x:v>
      </x:c>
      <x:c r="J17" s="23" t="s">
        <x:v>46</x:v>
      </x:c>
      <x:c r="K17" s="23" t="s">
        <x:v>125</x:v>
      </x:c>
      <x:c r="L17" s="23" t="s">
        <x:v>126</x:v>
      </x:c>
      <x:c r="M17" s="23" t="str">
        <x:v>개별 연계 구현 필요</x:v>
      </x:c>
      <x:c r="N17" s="23" t="s">
        <x:v>127</x:v>
      </x:c>
      <x:c r="O17" s="23" t="s">
        <x:v>128</x:v>
      </x:c>
    </x:row>
    <x:row r="18" ht="58" customHeight="1">
      <x:c r="A18" s="26" t="s">
        <x:v>14</x:v>
      </x:c>
      <x:c r="B18" s="23">
        <x:v>2</x:v>
      </x:c>
      <x:c r="C18" s="23" t="s">
        <x:v>5</x:v>
      </x:c>
      <x:c r="D18" s="23" t="s">
        <x:v>129</x:v>
      </x:c>
      <x:c r="E18" s="23" t="s">
        <x:v>7</x:v>
      </x:c>
      <x:c r="F18" s="23" t="s">
        <x:v>130</x:v>
      </x:c>
      <x:c r="G18" s="24">
        <x:v>1</x:v>
      </x:c>
      <x:c r="H18" s="24">
        <x:v>1</x:v>
      </x:c>
      <x:c r="I18" s="24">
        <x:v>1</x:v>
      </x:c>
      <x:c r="J18" s="23" t="s">
        <x:v>46</x:v>
      </x:c>
      <x:c r="K18" s="23" t="s">
        <x:v>131</x:v>
      </x:c>
      <x:c r="L18" s="23" t="s">
        <x:v>132</x:v>
      </x:c>
      <x:c r="M18" s="23" t="s">
        <x:v>24</x:v>
      </x:c>
      <x:c r="N18" s="23"/>
      <x:c r="O18" s="23" t="s">
        <x:v>133</x:v>
      </x:c>
    </x:row>
    <x:row r="19" ht="58" customHeight="1">
      <x:c r="A19" s="26" t="s">
        <x:v>14</x:v>
      </x:c>
      <x:c r="B19" s="23">
        <x:v>3</x:v>
      </x:c>
      <x:c r="C19" s="23" t="s">
        <x:v>5</x:v>
      </x:c>
      <x:c r="D19" s="23" t="s">
        <x:v>134</x:v>
      </x:c>
      <x:c r="E19" s="23" t="s">
        <x:v>8</x:v>
      </x:c>
      <x:c r="F19" s="23" t="s">
        <x:v>135</x:v>
      </x:c>
      <x:c r="G19" s="24">
        <x:v>2</x:v>
      </x:c>
      <x:c r="H19" s="24">
        <x:v>1</x:v>
      </x:c>
      <x:c r="I19" s="24">
        <x:v>1</x:v>
      </x:c>
      <x:c r="J19" s="23" t="s">
        <x:v>46</x:v>
      </x:c>
      <x:c r="K19" s="23" t="s">
        <x:v>136</x:v>
      </x:c>
      <x:c r="L19" s="23" t="s">
        <x:v>137</x:v>
      </x:c>
      <x:c r="M19" s="23" t="str">
        <x:v>개별 연계 구현 필요</x:v>
      </x:c>
      <x:c r="N19" s="23" t="s">
        <x:v>138</x:v>
      </x:c>
      <x:c r="O19" s="23" t="s">
        <x:v>139</x:v>
      </x:c>
    </x:row>
    <x:row r="20" ht="58" customHeight="1">
      <x:c r="A20" s="26" t="s">
        <x:v>14</x:v>
      </x:c>
      <x:c r="B20" s="23">
        <x:v>4</x:v>
      </x:c>
      <x:c r="C20" s="23" t="s">
        <x:v>5</x:v>
      </x:c>
      <x:c r="D20" s="23" t="s">
        <x:v>140</x:v>
      </x:c>
      <x:c r="E20" s="23" t="s">
        <x:v>8</x:v>
      </x:c>
      <x:c r="F20" s="23" t="s">
        <x:v>141</x:v>
      </x:c>
      <x:c r="G20" s="24">
        <x:v>2</x:v>
      </x:c>
      <x:c r="H20" s="24">
        <x:v>1</x:v>
      </x:c>
      <x:c r="I20" s="24">
        <x:v>1</x:v>
      </x:c>
      <x:c r="J20" s="23" t="s">
        <x:v>46</x:v>
      </x:c>
      <x:c r="K20" s="23" t="s">
        <x:v>142</x:v>
      </x:c>
      <x:c r="L20" s="23" t="str">
        <x:v>레벨당 기본 피해 +5. 체력 비용 5 유지.</x:v>
      </x:c>
      <x:c r="M20" s="23" t="str">
        <x:v>개별 연계 구현 필요</x:v>
      </x:c>
      <x:c r="N20" s="23" t="s">
        <x:v>138</x:v>
      </x:c>
      <x:c r="O20" s="23" t="s">
        <x:v>143</x:v>
      </x:c>
    </x:row>
    <x:row r="21" ht="58" customHeight="1">
      <x:c r="A21" s="26" t="s">
        <x:v>14</x:v>
      </x:c>
      <x:c r="B21" s="23">
        <x:v>5</x:v>
      </x:c>
      <x:c r="C21" s="23" t="s">
        <x:v>5</x:v>
      </x:c>
      <x:c r="D21" s="23" t="s">
        <x:v>144</x:v>
      </x:c>
      <x:c r="E21" s="23" t="s">
        <x:v>9</x:v>
      </x:c>
      <x:c r="F21" s="23" t="s">
        <x:v>145</x:v>
      </x:c>
      <x:c r="G21" s="24">
        <x:v>3</x:v>
      </x:c>
      <x:c r="H21" s="24">
        <x:v>2</x:v>
      </x:c>
      <x:c r="I21" s="24">
        <x:v>1</x:v>
      </x:c>
      <x:c r="J21" s="23" t="s">
        <x:v>46</x:v>
      </x:c>
      <x:c r="K21" s="23" t="s">
        <x:v>146</x:v>
      </x:c>
      <x:c r="L21" s="23" t="s">
        <x:v>147</x:v>
      </x:c>
      <x:c r="M21" s="23" t="str">
        <x:v>개별 연계 구현 필요</x:v>
      </x:c>
      <x:c r="N21" s="23" t="s">
        <x:v>148</x:v>
      </x:c>
      <x:c r="O21" s="23" t="s">
        <x:v>149</x:v>
      </x:c>
    </x:row>
    <x:row r="22" ht="58" customHeight="1">
      <x:c r="A22" s="26" t="s">
        <x:v>14</x:v>
      </x:c>
      <x:c r="B22" s="23">
        <x:v>6</x:v>
      </x:c>
      <x:c r="C22" s="23" t="s">
        <x:v>5</x:v>
      </x:c>
      <x:c r="D22" s="23" t="s">
        <x:v>150</x:v>
      </x:c>
      <x:c r="E22" s="23" t="s">
        <x:v>7</x:v>
      </x:c>
      <x:c r="F22" s="23" t="s">
        <x:v>151</x:v>
      </x:c>
      <x:c r="G22" s="24">
        <x:v>2</x:v>
      </x:c>
      <x:c r="H22" s="24">
        <x:v>1</x:v>
      </x:c>
      <x:c r="I22" s="24">
        <x:v>0</x:v>
      </x:c>
      <x:c r="J22" s="23" t="s">
        <x:v>72</x:v>
      </x:c>
      <x:c r="K22" s="23" t="s">
        <x:v>152</x:v>
      </x:c>
      <x:c r="L22" s="23" t="s">
        <x:v>80</x:v>
      </x:c>
      <x:c r="M22" s="23" t="s">
        <x:v>26</x:v>
      </x:c>
      <x:c r="N22" s="23"/>
      <x:c r="O22" s="23" t="s">
        <x:v>153</x:v>
      </x:c>
    </x:row>
    <x:row r="23" ht="58" customHeight="1">
      <x:c r="A23" s="26" t="s">
        <x:v>14</x:v>
      </x:c>
      <x:c r="B23" s="23">
        <x:v>7</x:v>
      </x:c>
      <x:c r="C23" s="23" t="s">
        <x:v>5</x:v>
      </x:c>
      <x:c r="D23" s="23" t="s">
        <x:v>154</x:v>
      </x:c>
      <x:c r="E23" s="23" t="s">
        <x:v>8</x:v>
      </x:c>
      <x:c r="F23" s="23" t="s">
        <x:v>155</x:v>
      </x:c>
      <x:c r="G23" s="24">
        <x:v>2</x:v>
      </x:c>
      <x:c r="H23" s="24">
        <x:v>1</x:v>
      </x:c>
      <x:c r="I23" s="24">
        <x:v>0</x:v>
      </x:c>
      <x:c r="J23" s="23" t="s">
        <x:v>46</x:v>
      </x:c>
      <x:c r="K23" s="23" t="s">
        <x:v>156</x:v>
      </x:c>
      <x:c r="L23" s="23" t="s">
        <x:v>157</x:v>
      </x:c>
      <x:c r="M23" s="23" t="str">
        <x:v>개별 연계 구현 필요</x:v>
      </x:c>
      <x:c r="N23" s="23" t="s">
        <x:v>75</x:v>
      </x:c>
      <x:c r="O23" s="23" t="s">
        <x:v>158</x:v>
      </x:c>
    </x:row>
    <x:row r="24" ht="58" customHeight="1">
      <x:c r="A24" s="26" t="s">
        <x:v>14</x:v>
      </x:c>
      <x:c r="B24" s="23">
        <x:v>8</x:v>
      </x:c>
      <x:c r="C24" s="23" t="s">
        <x:v>5</x:v>
      </x:c>
      <x:c r="D24" s="23" t="s">
        <x:v>159</x:v>
      </x:c>
      <x:c r="E24" s="23" t="s">
        <x:v>8</x:v>
      </x:c>
      <x:c r="F24" s="23" t="s">
        <x:v>160</x:v>
      </x:c>
      <x:c r="G24" s="24">
        <x:v>2</x:v>
      </x:c>
      <x:c r="H24" s="24">
        <x:v>1</x:v>
      </x:c>
      <x:c r="I24" s="24">
        <x:v>1</x:v>
      </x:c>
      <x:c r="J24" s="23" t="s">
        <x:v>46</x:v>
      </x:c>
      <x:c r="K24" s="23" t="s">
        <x:v>161</x:v>
      </x:c>
      <x:c r="L24" s="23" t="s">
        <x:v>162</x:v>
      </x:c>
      <x:c r="M24" s="23" t="s">
        <x:v>26</x:v>
      </x:c>
      <x:c r="N24" s="23"/>
      <x:c r="O24" s="23" t="s">
        <x:v>163</x:v>
      </x:c>
    </x:row>
    <x:row r="25" ht="58" customHeight="1">
      <x:c r="A25" s="26" t="s">
        <x:v>14</x:v>
      </x:c>
      <x:c r="B25" s="23">
        <x:v>9</x:v>
      </x:c>
      <x:c r="C25" s="23" t="s">
        <x:v>5</x:v>
      </x:c>
      <x:c r="D25" s="23" t="s">
        <x:v>164</x:v>
      </x:c>
      <x:c r="E25" s="23" t="s">
        <x:v>9</x:v>
      </x:c>
      <x:c r="F25" s="23" t="s">
        <x:v>165</x:v>
      </x:c>
      <x:c r="G25" s="24">
        <x:v>3</x:v>
      </x:c>
      <x:c r="H25" s="24">
        <x:v>1</x:v>
      </x:c>
      <x:c r="I25" s="24">
        <x:v>0</x:v>
      </x:c>
      <x:c r="J25" s="23" t="s">
        <x:v>72</x:v>
      </x:c>
      <x:c r="K25" s="23" t="s">
        <x:v>166</x:v>
      </x:c>
      <x:c r="L25" s="23" t="s">
        <x:v>167</x:v>
      </x:c>
      <x:c r="M25" s="23" t="str">
        <x:v>개별 연계 구현 필요</x:v>
      </x:c>
      <x:c r="N25" s="23" t="s">
        <x:v>168</x:v>
      </x:c>
      <x:c r="O25" s="23" t="s">
        <x:v>169</x:v>
      </x:c>
    </x:row>
    <x:row r="26" ht="58" customHeight="1">
      <x:c r="A26" s="26" t="s">
        <x:v>14</x:v>
      </x:c>
      <x:c r="B26" s="23">
        <x:v>10</x:v>
      </x:c>
      <x:c r="C26" s="23" t="s">
        <x:v>5</x:v>
      </x:c>
      <x:c r="D26" s="23" t="s">
        <x:v>170</x:v>
      </x:c>
      <x:c r="E26" s="23" t="s">
        <x:v>11</x:v>
      </x:c>
      <x:c r="F26" s="23" t="s">
        <x:v>171</x:v>
      </x:c>
      <x:c r="G26" s="24">
        <x:v>5</x:v>
      </x:c>
      <x:c r="H26" s="24">
        <x:v>2</x:v>
      </x:c>
      <x:c r="I26" s="24">
        <x:v>1</x:v>
      </x:c>
      <x:c r="J26" s="23" t="s">
        <x:v>46</x:v>
      </x:c>
      <x:c r="K26" s="23" t="s">
        <x:v>172</x:v>
      </x:c>
      <x:c r="L26" s="23" t="s">
        <x:v>173</x:v>
      </x:c>
      <x:c r="M26" s="23" t="str">
        <x:v>개별 연계 구현 필요</x:v>
      </x:c>
      <x:c r="N26" s="23" t="s">
        <x:v>138</x:v>
      </x:c>
      <x:c r="O26" s="23" t="s">
        <x:v>174</x:v>
      </x:c>
    </x:row>
    <x:row r="27" ht="58" customHeight="1">
      <x:c r="A27" s="26" t="s">
        <x:v>14</x:v>
      </x:c>
      <x:c r="B27" s="23">
        <x:v>11</x:v>
      </x:c>
      <x:c r="C27" s="23" t="s">
        <x:v>98</x:v>
      </x:c>
      <x:c r="D27" s="23" t="s">
        <x:v>175</x:v>
      </x:c>
      <x:c r="E27" s="23" t="s">
        <x:v>9</x:v>
      </x:c>
      <x:c r="F27" s="23" t="s">
        <x:v>176</x:v>
      </x:c>
      <x:c r="G27" s="24">
        <x:v>3</x:v>
      </x:c>
      <x:c r="H27" s="24">
        <x:v>1</x:v>
      </x:c>
      <x:c r="I27" s="24">
        <x:v>0</x:v>
      </x:c>
      <x:c r="J27" s="23" t="s">
        <x:v>46</x:v>
      </x:c>
      <x:c r="K27" s="23" t="s">
        <x:v>177</x:v>
      </x:c>
      <x:c r="L27" s="23" t="s">
        <x:v>178</x:v>
      </x:c>
      <x:c r="M27" s="23" t="str">
        <x:v>개별 연계 구현 필요</x:v>
      </x:c>
      <x:c r="N27" s="23" t="s">
        <x:v>179</x:v>
      </x:c>
      <x:c r="O27" s="23" t="s">
        <x:v>180</x:v>
      </x:c>
    </x:row>
    <x:row r="28" ht="58" customHeight="1">
      <x:c r="A28" s="26" t="s">
        <x:v>14</x:v>
      </x:c>
      <x:c r="B28" s="23">
        <x:v>12</x:v>
      </x:c>
      <x:c r="C28" s="23" t="s">
        <x:v>98</x:v>
      </x:c>
      <x:c r="D28" s="23" t="s">
        <x:v>181</x:v>
      </x:c>
      <x:c r="E28" s="23" t="s">
        <x:v>9</x:v>
      </x:c>
      <x:c r="F28" s="23" t="s">
        <x:v>182</x:v>
      </x:c>
      <x:c r="G28" s="24">
        <x:v>2</x:v>
      </x:c>
      <x:c r="H28" s="24">
        <x:v>1</x:v>
      </x:c>
      <x:c r="I28" s="24">
        <x:v>1</x:v>
      </x:c>
      <x:c r="J28" s="23" t="s">
        <x:v>46</x:v>
      </x:c>
      <x:c r="K28" s="23" t="s">
        <x:v>183</x:v>
      </x:c>
      <x:c r="L28" s="23" t="s">
        <x:v>126</x:v>
      </x:c>
      <x:c r="M28" s="23" t="str">
        <x:v>개별 연계 구현 필요</x:v>
      </x:c>
      <x:c r="N28" s="23" t="s">
        <x:v>184</x:v>
      </x:c>
      <x:c r="O28" s="23" t="s">
        <x:v>185</x:v>
      </x:c>
    </x:row>
    <x:row r="29" ht="58" customHeight="1">
      <x:c r="A29" s="26" t="s">
        <x:v>14</x:v>
      </x:c>
      <x:c r="B29" s="23">
        <x:v>13</x:v>
      </x:c>
      <x:c r="C29" s="23" t="s">
        <x:v>98</x:v>
      </x:c>
      <x:c r="D29" s="23" t="s">
        <x:v>186</x:v>
      </x:c>
      <x:c r="E29" s="23" t="s">
        <x:v>10</x:v>
      </x:c>
      <x:c r="F29" s="23" t="s">
        <x:v>187</x:v>
      </x:c>
      <x:c r="G29" s="24">
        <x:v>4</x:v>
      </x:c>
      <x:c r="H29" s="24">
        <x:v>2</x:v>
      </x:c>
      <x:c r="I29" s="24">
        <x:v>0</x:v>
      </x:c>
      <x:c r="J29" s="23" t="s">
        <x:v>106</x:v>
      </x:c>
      <x:c r="K29" s="23" t="s">
        <x:v>188</x:v>
      </x:c>
      <x:c r="L29" s="23" t="s">
        <x:v>80</x:v>
      </x:c>
      <x:c r="M29" s="23" t="s">
        <x:v>26</x:v>
      </x:c>
      <x:c r="N29" s="23"/>
      <x:c r="O29" s="23" t="s">
        <x:v>189</x:v>
      </x:c>
    </x:row>
    <x:row r="30" ht="58" customHeight="1">
      <x:c r="A30" s="26" t="s">
        <x:v>14</x:v>
      </x:c>
      <x:c r="B30" s="23">
        <x:v>14</x:v>
      </x:c>
      <x:c r="C30" s="23" t="s">
        <x:v>98</x:v>
      </x:c>
      <x:c r="D30" s="23" t="s">
        <x:v>190</x:v>
      </x:c>
      <x:c r="E30" s="23" t="s">
        <x:v>12</x:v>
      </x:c>
      <x:c r="F30" s="23" t="s">
        <x:v>191</x:v>
      </x:c>
      <x:c r="G30" s="24">
        <x:v>4</x:v>
      </x:c>
      <x:c r="H30" s="24">
        <x:v>1</x:v>
      </x:c>
      <x:c r="I30" s="24">
        <x:v>0</x:v>
      </x:c>
      <x:c r="J30" s="23" t="s">
        <x:v>72</x:v>
      </x:c>
      <x:c r="K30" s="23" t="s">
        <x:v>192</x:v>
      </x:c>
      <x:c r="L30" s="23" t="s">
        <x:v>80</x:v>
      </x:c>
      <x:c r="M30" s="23" t="str">
        <x:v>개별 연계 구현 필요</x:v>
      </x:c>
      <x:c r="N30" s="23" t="s">
        <x:v>193</x:v>
      </x:c>
      <x:c r="O30" s="23" t="s">
        <x:v>194</x:v>
      </x:c>
    </x:row>
    <x:row r="31" ht="58" customHeight="1">
      <x:c r="A31" s="26" t="s">
        <x:v>14</x:v>
      </x:c>
      <x:c r="B31" s="23">
        <x:v>15</x:v>
      </x:c>
      <x:c r="C31" s="23" t="s">
        <x:v>98</x:v>
      </x:c>
      <x:c r="D31" s="23" t="s">
        <x:v>195</x:v>
      </x:c>
      <x:c r="E31" s="23" t="s">
        <x:v>10</x:v>
      </x:c>
      <x:c r="F31" s="23" t="s">
        <x:v>196</x:v>
      </x:c>
      <x:c r="G31" s="24">
        <x:v>4</x:v>
      </x:c>
      <x:c r="H31" s="24">
        <x:v>2</x:v>
      </x:c>
      <x:c r="I31" s="24">
        <x:v>1</x:v>
      </x:c>
      <x:c r="J31" s="23" t="s">
        <x:v>46</x:v>
      </x:c>
      <x:c r="K31" s="23" t="s">
        <x:v>197</x:v>
      </x:c>
      <x:c r="L31" s="23" t="s">
        <x:v>198</x:v>
      </x:c>
      <x:c r="M31" s="23" t="str">
        <x:v>개별 연계 구현 필요</x:v>
      </x:c>
      <x:c r="N31" s="23" t="s">
        <x:v>199</x:v>
      </x:c>
      <x:c r="O31" s="23" t="s">
        <x:v>200</x:v>
      </x:c>
    </x:row>
    <x:row r="32" ht="58" customHeight="1">
      <x:c r="A32" s="27" t="s">
        <x:v>15</x:v>
      </x:c>
      <x:c r="B32" s="23">
        <x:v>1</x:v>
      </x:c>
      <x:c r="C32" s="23" t="s">
        <x:v>5</x:v>
      </x:c>
      <x:c r="D32" s="23" t="s">
        <x:v>201</x:v>
      </x:c>
      <x:c r="E32" s="23" t="s">
        <x:v>7</x:v>
      </x:c>
      <x:c r="F32" s="23" t="s">
        <x:v>202</x:v>
      </x:c>
      <x:c r="G32" s="24">
        <x:v>0</x:v>
      </x:c>
      <x:c r="H32" s="24">
        <x:v>1</x:v>
      </x:c>
      <x:c r="I32" s="24">
        <x:v>1</x:v>
      </x:c>
      <x:c r="J32" s="23" t="s">
        <x:v>46</x:v>
      </x:c>
      <x:c r="K32" s="23" t="s">
        <x:v>203</x:v>
      </x:c>
      <x:c r="L32" s="23" t="s">
        <x:v>204</x:v>
      </x:c>
      <x:c r="M32" s="23" t="s">
        <x:v>26</x:v>
      </x:c>
      <x:c r="N32" s="23"/>
      <x:c r="O32" s="23" t="s">
        <x:v>205</x:v>
      </x:c>
    </x:row>
    <x:row r="33" ht="58" customHeight="1">
      <x:c r="A33" s="27" t="s">
        <x:v>15</x:v>
      </x:c>
      <x:c r="B33" s="23">
        <x:v>2</x:v>
      </x:c>
      <x:c r="C33" s="23" t="s">
        <x:v>5</x:v>
      </x:c>
      <x:c r="D33" s="23" t="s">
        <x:v>206</x:v>
      </x:c>
      <x:c r="E33" s="23" t="s">
        <x:v>7</x:v>
      </x:c>
      <x:c r="F33" s="23" t="s">
        <x:v>207</x:v>
      </x:c>
      <x:c r="G33" s="24">
        <x:v>1</x:v>
      </x:c>
      <x:c r="H33" s="24">
        <x:v>2</x:v>
      </x:c>
      <x:c r="I33" s="24">
        <x:v>1</x:v>
      </x:c>
      <x:c r="J33" s="23" t="s">
        <x:v>106</x:v>
      </x:c>
      <x:c r="K33" s="23" t="s">
        <x:v>208</x:v>
      </x:c>
      <x:c r="L33" s="23" t="s">
        <x:v>209</x:v>
      </x:c>
      <x:c r="M33" s="23" t="s">
        <x:v>26</x:v>
      </x:c>
      <x:c r="N33" s="23"/>
      <x:c r="O33" s="23" t="s">
        <x:v>210</x:v>
      </x:c>
    </x:row>
    <x:row r="34" ht="58" customHeight="1">
      <x:c r="A34" s="27" t="s">
        <x:v>15</x:v>
      </x:c>
      <x:c r="B34" s="23">
        <x:v>3</x:v>
      </x:c>
      <x:c r="C34" s="23" t="s">
        <x:v>5</x:v>
      </x:c>
      <x:c r="D34" s="23" t="s">
        <x:v>211</x:v>
      </x:c>
      <x:c r="E34" s="23" t="s">
        <x:v>8</x:v>
      </x:c>
      <x:c r="F34" s="23" t="s">
        <x:v>212</x:v>
      </x:c>
      <x:c r="G34" s="24">
        <x:v>1</x:v>
      </x:c>
      <x:c r="H34" s="24">
        <x:v>1</x:v>
      </x:c>
      <x:c r="I34" s="24">
        <x:v>0</x:v>
      </x:c>
      <x:c r="J34" s="23" t="s">
        <x:v>46</x:v>
      </x:c>
      <x:c r="K34" s="23" t="s">
        <x:v>213</x:v>
      </x:c>
      <x:c r="L34" s="23" t="s">
        <x:v>80</x:v>
      </x:c>
      <x:c r="M34" s="23" t="s">
        <x:v>26</x:v>
      </x:c>
      <x:c r="N34" s="23"/>
      <x:c r="O34" s="23" t="s">
        <x:v>214</x:v>
      </x:c>
    </x:row>
    <x:row r="35" ht="58" customHeight="1">
      <x:c r="A35" s="27" t="s">
        <x:v>15</x:v>
      </x:c>
      <x:c r="B35" s="23">
        <x:v>4</x:v>
      </x:c>
      <x:c r="C35" s="23" t="s">
        <x:v>5</x:v>
      </x:c>
      <x:c r="D35" s="23" t="s">
        <x:v>215</x:v>
      </x:c>
      <x:c r="E35" s="23" t="s">
        <x:v>8</x:v>
      </x:c>
      <x:c r="F35" s="23" t="s">
        <x:v>216</x:v>
      </x:c>
      <x:c r="G35" s="24">
        <x:v>2</x:v>
      </x:c>
      <x:c r="H35" s="24">
        <x:v>1</x:v>
      </x:c>
      <x:c r="I35" s="24">
        <x:v>0</x:v>
      </x:c>
      <x:c r="J35" s="23" t="s">
        <x:v>46</x:v>
      </x:c>
      <x:c r="K35" s="23" t="s">
        <x:v>217</x:v>
      </x:c>
      <x:c r="L35" s="23" t="s">
        <x:v>218</x:v>
      </x:c>
      <x:c r="M35" s="23" t="str">
        <x:v>개별 연계 구현 필요</x:v>
      </x:c>
      <x:c r="N35" s="23" t="s">
        <x:v>219</x:v>
      </x:c>
      <x:c r="O35" s="23" t="s">
        <x:v>220</x:v>
      </x:c>
    </x:row>
    <x:row r="36" ht="58" customHeight="1">
      <x:c r="A36" s="27" t="s">
        <x:v>15</x:v>
      </x:c>
      <x:c r="B36" s="23">
        <x:v>5</x:v>
      </x:c>
      <x:c r="C36" s="23" t="s">
        <x:v>5</x:v>
      </x:c>
      <x:c r="D36" s="23" t="s">
        <x:v>221</x:v>
      </x:c>
      <x:c r="E36" s="23" t="s">
        <x:v>9</x:v>
      </x:c>
      <x:c r="F36" s="23" t="s">
        <x:v>222</x:v>
      </x:c>
      <x:c r="G36" s="24">
        <x:v>2</x:v>
      </x:c>
      <x:c r="H36" s="24">
        <x:v>1</x:v>
      </x:c>
      <x:c r="I36" s="24">
        <x:v>0</x:v>
      </x:c>
      <x:c r="J36" s="23" t="s">
        <x:v>46</x:v>
      </x:c>
      <x:c r="K36" s="23" t="s">
        <x:v>223</x:v>
      </x:c>
      <x:c r="L36" s="23" t="s">
        <x:v>80</x:v>
      </x:c>
      <x:c r="M36" s="23" t="str">
        <x:v>개별 연계 구현 필요</x:v>
      </x:c>
      <x:c r="N36" s="23" t="s">
        <x:v>224</x:v>
      </x:c>
      <x:c r="O36" s="23" t="s">
        <x:v>225</x:v>
      </x:c>
    </x:row>
    <x:row r="37" ht="58" customHeight="1">
      <x:c r="A37" s="27" t="s">
        <x:v>15</x:v>
      </x:c>
      <x:c r="B37" s="23">
        <x:v>6</x:v>
      </x:c>
      <x:c r="C37" s="23" t="s">
        <x:v>5</x:v>
      </x:c>
      <x:c r="D37" s="23" t="s">
        <x:v>226</x:v>
      </x:c>
      <x:c r="E37" s="23" t="s">
        <x:v>8</x:v>
      </x:c>
      <x:c r="F37" s="23" t="s">
        <x:v>227</x:v>
      </x:c>
      <x:c r="G37" s="24">
        <x:v>2</x:v>
      </x:c>
      <x:c r="H37" s="24">
        <x:v>1</x:v>
      </x:c>
      <x:c r="I37" s="24">
        <x:v>0</x:v>
      </x:c>
      <x:c r="J37" s="23" t="s">
        <x:v>72</x:v>
      </x:c>
      <x:c r="K37" s="23" t="s">
        <x:v>228</x:v>
      </x:c>
      <x:c r="L37" s="23" t="s">
        <x:v>229</x:v>
      </x:c>
      <x:c r="M37" s="23" t="str">
        <x:v>개별 연계 구현 필요</x:v>
      </x:c>
      <x:c r="N37" s="23" t="s">
        <x:v>230</x:v>
      </x:c>
      <x:c r="O37" s="23" t="s">
        <x:v>231</x:v>
      </x:c>
    </x:row>
    <x:row r="38" ht="58" customHeight="1">
      <x:c r="A38" s="27" t="s">
        <x:v>15</x:v>
      </x:c>
      <x:c r="B38" s="23">
        <x:v>7</x:v>
      </x:c>
      <x:c r="C38" s="23" t="s">
        <x:v>5</x:v>
      </x:c>
      <x:c r="D38" s="23" t="s">
        <x:v>232</x:v>
      </x:c>
      <x:c r="E38" s="23" t="s">
        <x:v>9</x:v>
      </x:c>
      <x:c r="F38" s="23" t="s">
        <x:v>233</x:v>
      </x:c>
      <x:c r="G38" s="24">
        <x:v>2</x:v>
      </x:c>
      <x:c r="H38" s="24">
        <x:v>1</x:v>
      </x:c>
      <x:c r="I38" s="24">
        <x:v>0</x:v>
      </x:c>
      <x:c r="J38" s="23" t="s">
        <x:v>46</x:v>
      </x:c>
      <x:c r="K38" s="23" t="s">
        <x:v>234</x:v>
      </x:c>
      <x:c r="L38" s="23" t="s">
        <x:v>235</x:v>
      </x:c>
      <x:c r="M38" s="23" t="str">
        <x:v>개별 연계 구현 필요</x:v>
      </x:c>
      <x:c r="N38" s="23" t="s">
        <x:v>236</x:v>
      </x:c>
      <x:c r="O38" s="23" t="s">
        <x:v>237</x:v>
      </x:c>
    </x:row>
    <x:row r="39" ht="58" customHeight="1">
      <x:c r="A39" s="27" t="s">
        <x:v>15</x:v>
      </x:c>
      <x:c r="B39" s="23">
        <x:v>8</x:v>
      </x:c>
      <x:c r="C39" s="23" t="s">
        <x:v>5</x:v>
      </x:c>
      <x:c r="D39" s="23" t="s">
        <x:v>238</x:v>
      </x:c>
      <x:c r="E39" s="23" t="s">
        <x:v>7</x:v>
      </x:c>
      <x:c r="F39" s="23" t="s">
        <x:v>239</x:v>
      </x:c>
      <x:c r="G39" s="24">
        <x:v>1</x:v>
      </x:c>
      <x:c r="H39" s="24">
        <x:v>1</x:v>
      </x:c>
      <x:c r="I39" s="24">
        <x:v>1</x:v>
      </x:c>
      <x:c r="J39" s="23" t="s">
        <x:v>46</x:v>
      </x:c>
      <x:c r="K39" s="23" t="s">
        <x:v>240</x:v>
      </x:c>
      <x:c r="L39" s="23" t="s">
        <x:v>241</x:v>
      </x:c>
      <x:c r="M39" s="23" t="str">
        <x:v>공통 확장 조합</x:v>
      </x:c>
      <x:c r="N39" s="23" t="s">
        <x:v>242</x:v>
      </x:c>
      <x:c r="O39" s="23" t="s">
        <x:v>243</x:v>
      </x:c>
    </x:row>
    <x:row r="40" ht="58" customHeight="1">
      <x:c r="A40" s="27" t="s">
        <x:v>15</x:v>
      </x:c>
      <x:c r="B40" s="23">
        <x:v>9</x:v>
      </x:c>
      <x:c r="C40" s="23" t="s">
        <x:v>5</x:v>
      </x:c>
      <x:c r="D40" s="23" t="s">
        <x:v>244</x:v>
      </x:c>
      <x:c r="E40" s="23" t="s">
        <x:v>10</x:v>
      </x:c>
      <x:c r="F40" s="23" t="s">
        <x:v>245</x:v>
      </x:c>
      <x:c r="G40" s="24">
        <x:v>3</x:v>
      </x:c>
      <x:c r="H40" s="24">
        <x:v>2</x:v>
      </x:c>
      <x:c r="I40" s="24">
        <x:v>1</x:v>
      </x:c>
      <x:c r="J40" s="23" t="s">
        <x:v>46</x:v>
      </x:c>
      <x:c r="K40" s="23" t="s">
        <x:v>246</x:v>
      </x:c>
      <x:c r="L40" s="23" t="s">
        <x:v>247</x:v>
      </x:c>
      <x:c r="M40" s="23" t="str">
        <x:v>개별 연계 구현 필요</x:v>
      </x:c>
      <x:c r="N40" s="23" t="s">
        <x:v>242</x:v>
      </x:c>
      <x:c r="O40" s="23" t="s">
        <x:v>248</x:v>
      </x:c>
    </x:row>
    <x:row r="41" ht="58" customHeight="1">
      <x:c r="A41" s="27" t="s">
        <x:v>15</x:v>
      </x:c>
      <x:c r="B41" s="23">
        <x:v>10</x:v>
      </x:c>
      <x:c r="C41" s="23" t="s">
        <x:v>5</x:v>
      </x:c>
      <x:c r="D41" s="23" t="s">
        <x:v>249</x:v>
      </x:c>
      <x:c r="E41" s="23" t="s">
        <x:v>11</x:v>
      </x:c>
      <x:c r="F41" s="23" t="s">
        <x:v>250</x:v>
      </x:c>
      <x:c r="G41" s="24">
        <x:v>5</x:v>
      </x:c>
      <x:c r="H41" s="24">
        <x:v>1</x:v>
      </x:c>
      <x:c r="I41" s="24">
        <x:v>0</x:v>
      </x:c>
      <x:c r="J41" s="23" t="s">
        <x:v>72</x:v>
      </x:c>
      <x:c r="K41" s="23" t="s">
        <x:v>251</x:v>
      </x:c>
      <x:c r="L41" s="23" t="s">
        <x:v>80</x:v>
      </x:c>
      <x:c r="M41" s="23" t="str">
        <x:v>개별 연계 구현 필요</x:v>
      </x:c>
      <x:c r="N41" s="23" t="s">
        <x:v>252</x:v>
      </x:c>
      <x:c r="O41" s="23" t="s">
        <x:v>253</x:v>
      </x:c>
    </x:row>
    <x:row r="42" ht="58" customHeight="1">
      <x:c r="A42" s="27" t="s">
        <x:v>15</x:v>
      </x:c>
      <x:c r="B42" s="23">
        <x:v>11</x:v>
      </x:c>
      <x:c r="C42" s="23" t="s">
        <x:v>98</x:v>
      </x:c>
      <x:c r="D42" s="23" t="s">
        <x:v>254</x:v>
      </x:c>
      <x:c r="E42" s="23" t="s">
        <x:v>8</x:v>
      </x:c>
      <x:c r="F42" s="23" t="s">
        <x:v>255</x:v>
      </x:c>
      <x:c r="G42" s="24">
        <x:v>2</x:v>
      </x:c>
      <x:c r="H42" s="24">
        <x:v>1</x:v>
      </x:c>
      <x:c r="I42" s="24">
        <x:v>0</x:v>
      </x:c>
      <x:c r="J42" s="23" t="s">
        <x:v>46</x:v>
      </x:c>
      <x:c r="K42" s="23" t="s">
        <x:v>256</x:v>
      </x:c>
      <x:c r="L42" s="23" t="s">
        <x:v>257</x:v>
      </x:c>
      <x:c r="M42" s="23" t="str">
        <x:v>개별 연계 구현 필요</x:v>
      </x:c>
      <x:c r="N42" s="23" t="s">
        <x:v>258</x:v>
      </x:c>
      <x:c r="O42" s="23" t="s">
        <x:v>259</x:v>
      </x:c>
    </x:row>
    <x:row r="43" ht="58" customHeight="1">
      <x:c r="A43" s="27" t="s">
        <x:v>15</x:v>
      </x:c>
      <x:c r="B43" s="23">
        <x:v>12</x:v>
      </x:c>
      <x:c r="C43" s="23" t="s">
        <x:v>98</x:v>
      </x:c>
      <x:c r="D43" s="23" t="s">
        <x:v>260</x:v>
      </x:c>
      <x:c r="E43" s="23" t="s">
        <x:v>9</x:v>
      </x:c>
      <x:c r="F43" s="23" t="s">
        <x:v>261</x:v>
      </x:c>
      <x:c r="G43" s="24">
        <x:v>2</x:v>
      </x:c>
      <x:c r="H43" s="24">
        <x:v>2</x:v>
      </x:c>
      <x:c r="I43" s="24">
        <x:v>3</x:v>
      </x:c>
      <x:c r="J43" s="23" t="s">
        <x:v>67</x:v>
      </x:c>
      <x:c r="K43" s="23" t="s">
        <x:v>262</x:v>
      </x:c>
      <x:c r="L43" s="23" t="s">
        <x:v>263</x:v>
      </x:c>
      <x:c r="M43" s="23" t="str">
        <x:v>개별 연계 구현 필요</x:v>
      </x:c>
      <x:c r="N43" s="23" t="s">
        <x:v>264</x:v>
      </x:c>
      <x:c r="O43" s="23" t="s">
        <x:v>265</x:v>
      </x:c>
    </x:row>
    <x:row r="44" ht="58" customHeight="1">
      <x:c r="A44" s="27" t="s">
        <x:v>15</x:v>
      </x:c>
      <x:c r="B44" s="23">
        <x:v>13</x:v>
      </x:c>
      <x:c r="C44" s="23" t="s">
        <x:v>98</x:v>
      </x:c>
      <x:c r="D44" s="23" t="s">
        <x:v>266</x:v>
      </x:c>
      <x:c r="E44" s="23" t="s">
        <x:v>12</x:v>
      </x:c>
      <x:c r="F44" s="23" t="s">
        <x:v>267</x:v>
      </x:c>
      <x:c r="G44" s="24">
        <x:v>5</x:v>
      </x:c>
      <x:c r="H44" s="24">
        <x:v>2</x:v>
      </x:c>
      <x:c r="I44" s="24">
        <x:v>0</x:v>
      </x:c>
      <x:c r="J44" s="23" t="s">
        <x:v>72</x:v>
      </x:c>
      <x:c r="K44" s="23" t="s">
        <x:v>268</x:v>
      </x:c>
      <x:c r="L44" s="23" t="s">
        <x:v>80</x:v>
      </x:c>
      <x:c r="M44" s="23" t="str">
        <x:v>개별 연계 구현 필요</x:v>
      </x:c>
      <x:c r="N44" s="23" t="s">
        <x:v>269</x:v>
      </x:c>
      <x:c r="O44" s="23" t="s">
        <x:v>270</x:v>
      </x:c>
    </x:row>
    <x:row r="45" ht="58" customHeight="1">
      <x:c r="A45" s="27" t="s">
        <x:v>15</x:v>
      </x:c>
      <x:c r="B45" s="23">
        <x:v>14</x:v>
      </x:c>
      <x:c r="C45" s="23" t="s">
        <x:v>98</x:v>
      </x:c>
      <x:c r="D45" s="23" t="s">
        <x:v>271</x:v>
      </x:c>
      <x:c r="E45" s="23" t="s">
        <x:v>9</x:v>
      </x:c>
      <x:c r="F45" s="23" t="s">
        <x:v>272</x:v>
      </x:c>
      <x:c r="G45" s="24">
        <x:v>3</x:v>
      </x:c>
      <x:c r="H45" s="24">
        <x:v>1</x:v>
      </x:c>
      <x:c r="I45" s="24">
        <x:v>0</x:v>
      </x:c>
      <x:c r="J45" s="23" t="s">
        <x:v>72</x:v>
      </x:c>
      <x:c r="K45" s="23" t="s">
        <x:v>273</x:v>
      </x:c>
      <x:c r="L45" s="23" t="s">
        <x:v>274</x:v>
      </x:c>
      <x:c r="M45" s="23" t="str">
        <x:v>개별 연계 구현 필요</x:v>
      </x:c>
      <x:c r="N45" s="23" t="s">
        <x:v>113</x:v>
      </x:c>
      <x:c r="O45" s="23" t="s">
        <x:v>275</x:v>
      </x:c>
    </x:row>
    <x:row r="46" ht="58" customHeight="1">
      <x:c r="A46" s="27" t="s">
        <x:v>15</x:v>
      </x:c>
      <x:c r="B46" s="23">
        <x:v>15</x:v>
      </x:c>
      <x:c r="C46" s="23" t="s">
        <x:v>98</x:v>
      </x:c>
      <x:c r="D46" s="23" t="s">
        <x:v>276</x:v>
      </x:c>
      <x:c r="E46" s="23" t="s">
        <x:v>10</x:v>
      </x:c>
      <x:c r="F46" s="23" t="s">
        <x:v>277</x:v>
      </x:c>
      <x:c r="G46" s="24">
        <x:v>4</x:v>
      </x:c>
      <x:c r="H46" s="24">
        <x:v>1</x:v>
      </x:c>
      <x:c r="I46" s="24">
        <x:v>0</x:v>
      </x:c>
      <x:c r="J46" s="23" t="s">
        <x:v>72</x:v>
      </x:c>
      <x:c r="K46" s="23" t="s">
        <x:v>278</x:v>
      </x:c>
      <x:c r="L46" s="23" t="s">
        <x:v>80</x:v>
      </x:c>
      <x:c r="M46" s="23" t="str">
        <x:v>개별 연계 구현 필요</x:v>
      </x:c>
      <x:c r="N46" s="23" t="s">
        <x:v>219</x:v>
      </x:c>
      <x:c r="O46" s="23" t="s">
        <x:v>279</x:v>
      </x:c>
    </x:row>
    <x:row r="47" ht="58" customHeight="1">
      <x:c r="A47" s="28" t="s">
        <x:v>16</x:v>
      </x:c>
      <x:c r="B47" s="23">
        <x:v>1</x:v>
      </x:c>
      <x:c r="C47" s="23" t="s">
        <x:v>5</x:v>
      </x:c>
      <x:c r="D47" s="23" t="s">
        <x:v>280</x:v>
      </x:c>
      <x:c r="E47" s="23" t="s">
        <x:v>7</x:v>
      </x:c>
      <x:c r="F47" s="23" t="s">
        <x:v>281</x:v>
      </x:c>
      <x:c r="G47" s="24">
        <x:v>0</x:v>
      </x:c>
      <x:c r="H47" s="24">
        <x:v>1</x:v>
      </x:c>
      <x:c r="I47" s="24">
        <x:v>1</x:v>
      </x:c>
      <x:c r="J47" s="23" t="s">
        <x:v>46</x:v>
      </x:c>
      <x:c r="K47" s="23" t="s">
        <x:v>282</x:v>
      </x:c>
      <x:c r="L47" s="23" t="s">
        <x:v>283</x:v>
      </x:c>
      <x:c r="M47" s="23" t="s">
        <x:v>26</x:v>
      </x:c>
      <x:c r="N47" s="23"/>
      <x:c r="O47" s="23" t="s">
        <x:v>284</x:v>
      </x:c>
    </x:row>
    <x:row r="48" ht="58" customHeight="1">
      <x:c r="A48" s="28" t="s">
        <x:v>16</x:v>
      </x:c>
      <x:c r="B48" s="23">
        <x:v>2</x:v>
      </x:c>
      <x:c r="C48" s="23" t="s">
        <x:v>5</x:v>
      </x:c>
      <x:c r="D48" s="23" t="s">
        <x:v>285</x:v>
      </x:c>
      <x:c r="E48" s="23" t="s">
        <x:v>8</x:v>
      </x:c>
      <x:c r="F48" s="23" t="s">
        <x:v>286</x:v>
      </x:c>
      <x:c r="G48" s="24">
        <x:v>1</x:v>
      </x:c>
      <x:c r="H48" s="24">
        <x:v>2</x:v>
      </x:c>
      <x:c r="I48" s="24">
        <x:v>0</x:v>
      </x:c>
      <x:c r="J48" s="23" t="s">
        <x:v>106</x:v>
      </x:c>
      <x:c r="K48" s="23" t="s">
        <x:v>287</x:v>
      </x:c>
      <x:c r="L48" s="23" t="s">
        <x:v>80</x:v>
      </x:c>
      <x:c r="M48" s="23" t="s">
        <x:v>26</x:v>
      </x:c>
      <x:c r="N48" s="23"/>
      <x:c r="O48" s="23" t="s">
        <x:v>288</x:v>
      </x:c>
    </x:row>
    <x:row r="49" ht="58" customHeight="1">
      <x:c r="A49" s="28" t="s">
        <x:v>16</x:v>
      </x:c>
      <x:c r="B49" s="23">
        <x:v>3</x:v>
      </x:c>
      <x:c r="C49" s="23" t="s">
        <x:v>5</x:v>
      </x:c>
      <x:c r="D49" s="23" t="s">
        <x:v>289</x:v>
      </x:c>
      <x:c r="E49" s="23" t="s">
        <x:v>7</x:v>
      </x:c>
      <x:c r="F49" s="23" t="s">
        <x:v>290</x:v>
      </x:c>
      <x:c r="G49" s="24">
        <x:v>1</x:v>
      </x:c>
      <x:c r="H49" s="24">
        <x:v>1</x:v>
      </x:c>
      <x:c r="I49" s="24">
        <x:v>0</x:v>
      </x:c>
      <x:c r="J49" s="23" t="s">
        <x:v>46</x:v>
      </x:c>
      <x:c r="K49" s="23" t="s">
        <x:v>291</x:v>
      </x:c>
      <x:c r="L49" s="23" t="s">
        <x:v>80</x:v>
      </x:c>
      <x:c r="M49" s="23" t="s">
        <x:v>26</x:v>
      </x:c>
      <x:c r="N49" s="23"/>
      <x:c r="O49" s="23" t="s">
        <x:v>292</x:v>
      </x:c>
    </x:row>
    <x:row r="50" ht="58" customHeight="1">
      <x:c r="A50" s="28" t="s">
        <x:v>16</x:v>
      </x:c>
      <x:c r="B50" s="23">
        <x:v>4</x:v>
      </x:c>
      <x:c r="C50" s="23" t="s">
        <x:v>5</x:v>
      </x:c>
      <x:c r="D50" s="23" t="s">
        <x:v>293</x:v>
      </x:c>
      <x:c r="E50" s="23" t="s">
        <x:v>8</x:v>
      </x:c>
      <x:c r="F50" s="23" t="s">
        <x:v>294</x:v>
      </x:c>
      <x:c r="G50" s="24">
        <x:v>2</x:v>
      </x:c>
      <x:c r="H50" s="24">
        <x:v>2</x:v>
      </x:c>
      <x:c r="I50" s="24">
        <x:v>0</x:v>
      </x:c>
      <x:c r="J50" s="23" t="s">
        <x:v>106</x:v>
      </x:c>
      <x:c r="K50" s="23" t="s">
        <x:v>295</x:v>
      </x:c>
      <x:c r="L50" s="23" t="s">
        <x:v>80</x:v>
      </x:c>
      <x:c r="M50" s="23" t="s">
        <x:v>26</x:v>
      </x:c>
      <x:c r="N50" s="23"/>
      <x:c r="O50" s="23" t="s">
        <x:v>296</x:v>
      </x:c>
    </x:row>
    <x:row r="51" ht="58" customHeight="1">
      <x:c r="A51" s="28" t="s">
        <x:v>16</x:v>
      </x:c>
      <x:c r="B51" s="23">
        <x:v>5</x:v>
      </x:c>
      <x:c r="C51" s="23" t="s">
        <x:v>5</x:v>
      </x:c>
      <x:c r="D51" s="23" t="s">
        <x:v>297</x:v>
      </x:c>
      <x:c r="E51" s="23" t="s">
        <x:v>9</x:v>
      </x:c>
      <x:c r="F51" s="23" t="s">
        <x:v>298</x:v>
      </x:c>
      <x:c r="G51" s="24">
        <x:v>3</x:v>
      </x:c>
      <x:c r="H51" s="24">
        <x:v>1</x:v>
      </x:c>
      <x:c r="I51" s="24">
        <x:v>1</x:v>
      </x:c>
      <x:c r="J51" s="23" t="s">
        <x:v>46</x:v>
      </x:c>
      <x:c r="K51" s="23" t="s">
        <x:v>299</x:v>
      </x:c>
      <x:c r="L51" s="23" t="s">
        <x:v>300</x:v>
      </x:c>
      <x:c r="M51" s="23" t="str">
        <x:v>공통 확장 조합</x:v>
      </x:c>
      <x:c r="N51" s="23" t="s">
        <x:v>301</x:v>
      </x:c>
      <x:c r="O51" s="23" t="s">
        <x:v>302</x:v>
      </x:c>
    </x:row>
    <x:row r="52" ht="58" customHeight="1">
      <x:c r="A52" s="28" t="s">
        <x:v>16</x:v>
      </x:c>
      <x:c r="B52" s="23">
        <x:v>6</x:v>
      </x:c>
      <x:c r="C52" s="23" t="s">
        <x:v>5</x:v>
      </x:c>
      <x:c r="D52" s="23" t="s">
        <x:v>303</x:v>
      </x:c>
      <x:c r="E52" s="23" t="s">
        <x:v>7</x:v>
      </x:c>
      <x:c r="F52" s="23" t="s">
        <x:v>304</x:v>
      </x:c>
      <x:c r="G52" s="24">
        <x:v>1</x:v>
      </x:c>
      <x:c r="H52" s="24">
        <x:v>1</x:v>
      </x:c>
      <x:c r="I52" s="24">
        <x:v>0</x:v>
      </x:c>
      <x:c r="J52" s="23" t="s">
        <x:v>72</x:v>
      </x:c>
      <x:c r="K52" s="23" t="s">
        <x:v>305</x:v>
      </x:c>
      <x:c r="L52" s="23" t="s">
        <x:v>306</x:v>
      </x:c>
      <x:c r="M52" s="23" t="s">
        <x:v>24</x:v>
      </x:c>
      <x:c r="N52" s="23"/>
      <x:c r="O52" s="23" t="s">
        <x:v>307</x:v>
      </x:c>
    </x:row>
    <x:row r="53" ht="58" customHeight="1">
      <x:c r="A53" s="28" t="s">
        <x:v>16</x:v>
      </x:c>
      <x:c r="B53" s="23">
        <x:v>7</x:v>
      </x:c>
      <x:c r="C53" s="23" t="s">
        <x:v>5</x:v>
      </x:c>
      <x:c r="D53" s="23" t="s">
        <x:v>308</x:v>
      </x:c>
      <x:c r="E53" s="23" t="s">
        <x:v>8</x:v>
      </x:c>
      <x:c r="F53" s="23" t="s">
        <x:v>309</x:v>
      </x:c>
      <x:c r="G53" s="24">
        <x:v>3</x:v>
      </x:c>
      <x:c r="H53" s="24">
        <x:v>1</x:v>
      </x:c>
      <x:c r="I53" s="24">
        <x:v>0</x:v>
      </x:c>
      <x:c r="J53" s="23" t="s">
        <x:v>72</x:v>
      </x:c>
      <x:c r="K53" s="23" t="s">
        <x:v>310</x:v>
      </x:c>
      <x:c r="L53" s="23" t="s">
        <x:v>274</x:v>
      </x:c>
      <x:c r="M53" s="23" t="str">
        <x:v>개별 연계 구현 필요</x:v>
      </x:c>
      <x:c r="N53" s="23" t="s">
        <x:v>113</x:v>
      </x:c>
      <x:c r="O53" s="23" t="s">
        <x:v>311</x:v>
      </x:c>
    </x:row>
    <x:row r="54" ht="58" customHeight="1">
      <x:c r="A54" s="28" t="s">
        <x:v>16</x:v>
      </x:c>
      <x:c r="B54" s="23">
        <x:v>8</x:v>
      </x:c>
      <x:c r="C54" s="23" t="s">
        <x:v>5</x:v>
      </x:c>
      <x:c r="D54" s="23" t="s">
        <x:v>312</x:v>
      </x:c>
      <x:c r="E54" s="23" t="s">
        <x:v>9</x:v>
      </x:c>
      <x:c r="F54" s="23" t="s">
        <x:v>313</x:v>
      </x:c>
      <x:c r="G54" s="24">
        <x:v>3</x:v>
      </x:c>
      <x:c r="H54" s="24">
        <x:v>1</x:v>
      </x:c>
      <x:c r="I54" s="24">
        <x:v>0</x:v>
      </x:c>
      <x:c r="J54" s="23" t="s">
        <x:v>46</x:v>
      </x:c>
      <x:c r="K54" s="23" t="s">
        <x:v>314</x:v>
      </x:c>
      <x:c r="L54" s="23" t="s">
        <x:v>80</x:v>
      </x:c>
      <x:c r="M54" s="23" t="str">
        <x:v>공통 확장 조합</x:v>
      </x:c>
      <x:c r="N54" s="23" t="s">
        <x:v>315</x:v>
      </x:c>
      <x:c r="O54" s="23" t="s">
        <x:v>316</x:v>
      </x:c>
    </x:row>
    <x:row r="55" ht="58" customHeight="1">
      <x:c r="A55" s="28" t="s">
        <x:v>16</x:v>
      </x:c>
      <x:c r="B55" s="23">
        <x:v>9</x:v>
      </x:c>
      <x:c r="C55" s="23" t="s">
        <x:v>5</x:v>
      </x:c>
      <x:c r="D55" s="23" t="s">
        <x:v>317</x:v>
      </x:c>
      <x:c r="E55" s="23" t="s">
        <x:v>9</x:v>
      </x:c>
      <x:c r="F55" s="23" t="s">
        <x:v>318</x:v>
      </x:c>
      <x:c r="G55" s="24">
        <x:v>2</x:v>
      </x:c>
      <x:c r="H55" s="24">
        <x:v>1</x:v>
      </x:c>
      <x:c r="I55" s="24">
        <x:v>1</x:v>
      </x:c>
      <x:c r="J55" s="23" t="s">
        <x:v>46</x:v>
      </x:c>
      <x:c r="K55" s="23" t="s">
        <x:v>319</x:v>
      </x:c>
      <x:c r="L55" s="23" t="s">
        <x:v>320</x:v>
      </x:c>
      <x:c r="M55" s="23" t="str">
        <x:v>개별 연계 구현 필요</x:v>
      </x:c>
      <x:c r="N55" s="23" t="s">
        <x:v>321</x:v>
      </x:c>
      <x:c r="O55" s="23" t="s">
        <x:v>322</x:v>
      </x:c>
    </x:row>
    <x:row r="56" ht="58" customHeight="1">
      <x:c r="A56" s="28" t="s">
        <x:v>16</x:v>
      </x:c>
      <x:c r="B56" s="23">
        <x:v>10</x:v>
      </x:c>
      <x:c r="C56" s="23" t="s">
        <x:v>5</x:v>
      </x:c>
      <x:c r="D56" s="23" t="s">
        <x:v>323</x:v>
      </x:c>
      <x:c r="E56" s="23" t="s">
        <x:v>10</x:v>
      </x:c>
      <x:c r="F56" s="23" t="s">
        <x:v>324</x:v>
      </x:c>
      <x:c r="G56" s="24">
        <x:v>3</x:v>
      </x:c>
      <x:c r="H56" s="24">
        <x:v>2</x:v>
      </x:c>
      <x:c r="I56" s="24">
        <x:v>0</x:v>
      </x:c>
      <x:c r="J56" s="23" t="s">
        <x:v>106</x:v>
      </x:c>
      <x:c r="K56" s="23" t="s">
        <x:v>325</x:v>
      </x:c>
      <x:c r="L56" s="23" t="s">
        <x:v>80</x:v>
      </x:c>
      <x:c r="M56" s="23" t="str">
        <x:v>개별 연계 구현 필요</x:v>
      </x:c>
      <x:c r="N56" s="23" t="s">
        <x:v>326</x:v>
      </x:c>
      <x:c r="O56" s="23" t="s">
        <x:v>327</x:v>
      </x:c>
    </x:row>
    <x:row r="57" ht="58" customHeight="1">
      <x:c r="A57" s="28" t="s">
        <x:v>16</x:v>
      </x:c>
      <x:c r="B57" s="23">
        <x:v>11</x:v>
      </x:c>
      <x:c r="C57" s="23" t="s">
        <x:v>98</x:v>
      </x:c>
      <x:c r="D57" s="23" t="s">
        <x:v>328</x:v>
      </x:c>
      <x:c r="E57" s="23" t="s">
        <x:v>8</x:v>
      </x:c>
      <x:c r="F57" s="23" t="s">
        <x:v>329</x:v>
      </x:c>
      <x:c r="G57" s="24">
        <x:v>2</x:v>
      </x:c>
      <x:c r="H57" s="24">
        <x:v>1</x:v>
      </x:c>
      <x:c r="I57" s="24">
        <x:v>0</x:v>
      </x:c>
      <x:c r="J57" s="23" t="s">
        <x:v>72</x:v>
      </x:c>
      <x:c r="K57" s="23" t="s">
        <x:v>330</x:v>
      </x:c>
      <x:c r="L57" s="23" t="s">
        <x:v>274</x:v>
      </x:c>
      <x:c r="M57" s="23" t="str">
        <x:v>개별 연계 구현 필요</x:v>
      </x:c>
      <x:c r="N57" s="23" t="s">
        <x:v>87</x:v>
      </x:c>
      <x:c r="O57" s="23" t="s">
        <x:v>331</x:v>
      </x:c>
    </x:row>
    <x:row r="58" ht="58" customHeight="1">
      <x:c r="A58" s="28" t="s">
        <x:v>16</x:v>
      </x:c>
      <x:c r="B58" s="23">
        <x:v>12</x:v>
      </x:c>
      <x:c r="C58" s="23" t="s">
        <x:v>98</x:v>
      </x:c>
      <x:c r="D58" s="23" t="s">
        <x:v>332</x:v>
      </x:c>
      <x:c r="E58" s="23" t="s">
        <x:v>9</x:v>
      </x:c>
      <x:c r="F58" s="23" t="s">
        <x:v>333</x:v>
      </x:c>
      <x:c r="G58" s="24">
        <x:v>3</x:v>
      </x:c>
      <x:c r="H58" s="24">
        <x:v>2</x:v>
      </x:c>
      <x:c r="I58" s="24">
        <x:v>0</x:v>
      </x:c>
      <x:c r="J58" s="23" t="s">
        <x:v>72</x:v>
      </x:c>
      <x:c r="K58" s="23" t="s">
        <x:v>334</x:v>
      </x:c>
      <x:c r="L58" s="23" t="s">
        <x:v>335</x:v>
      </x:c>
      <x:c r="M58" s="23" t="s">
        <x:v>26</x:v>
      </x:c>
      <x:c r="N58" s="23"/>
      <x:c r="O58" s="23" t="s">
        <x:v>336</x:v>
      </x:c>
    </x:row>
    <x:row r="59" ht="76" customHeight="1">
      <x:c r="A59" s="28" t="s">
        <x:v>16</x:v>
      </x:c>
      <x:c r="B59" s="23">
        <x:v>13</x:v>
      </x:c>
      <x:c r="C59" s="23" t="s">
        <x:v>98</x:v>
      </x:c>
      <x:c r="D59" s="23" t="s">
        <x:v>337</x:v>
      </x:c>
      <x:c r="E59" s="23" t="s">
        <x:v>10</x:v>
      </x:c>
      <x:c r="F59" s="23" t="s">
        <x:v>338</x:v>
      </x:c>
      <x:c r="G59" s="24">
        <x:v>5</x:v>
      </x:c>
      <x:c r="H59" s="24">
        <x:v>2</x:v>
      </x:c>
      <x:c r="I59" s="24">
        <x:v>0</x:v>
      </x:c>
      <x:c r="J59" s="23" t="s">
        <x:v>72</x:v>
      </x:c>
      <x:c r="K59" s="23" t="str">
        <x:v>방어력의 300%+40의 방어막을 얻고 자기 빙결된다. 즉시 남은 행동을 못 하고 다음 자신의 턴 1회를 건너뛴다. 그다음 자신의 턴 시작에 해제되며 잃은 체력의 20%를 회복한다. 방어막은 자기 빙결 중 유지되며 피격으로 풀리지 않는다.</x:v>
      </x:c>
      <x:c r="L59" s="23" t="str">
        <x:v>레벨당 방어막 +6. 자연 해제 시 잃은 체력 회복률 +5%p(20%부터, 최대 100%).</x:v>
      </x:c>
      <x:c r="M59" s="23" t="str">
        <x:v>공통 확장 조합</x:v>
      </x:c>
      <x:c r="N59" s="23" t="s">
        <x:v>339</x:v>
      </x:c>
      <x:c r="O59" s="23" t="s">
        <x:v>340</x:v>
      </x:c>
    </x:row>
    <x:row r="60" ht="76" customHeight="1">
      <x:c r="A60" s="28" t="s">
        <x:v>16</x:v>
      </x:c>
      <x:c r="B60" s="23">
        <x:v>14</x:v>
      </x:c>
      <x:c r="C60" s="23" t="s">
        <x:v>98</x:v>
      </x:c>
      <x:c r="D60" s="23" t="s">
        <x:v>341</x:v>
      </x:c>
      <x:c r="E60" s="23" t="s">
        <x:v>12</x:v>
      </x:c>
      <x:c r="F60" s="23" t="s">
        <x:v>342</x:v>
      </x:c>
      <x:c r="G60" s="24">
        <x:v>6</x:v>
      </x:c>
      <x:c r="H60" s="24">
        <x:v>2</x:v>
      </x:c>
      <x:c r="I60" s="24">
        <x:v>0</x:v>
      </x:c>
      <x:c r="J60" s="23" t="s">
        <x:v>72</x:v>
      </x:c>
      <x:c r="K60" s="23" t="s">
        <x:v>343</x:v>
      </x:c>
      <x:c r="L60" s="23" t="s">
        <x:v>80</x:v>
      </x:c>
      <x:c r="M60" s="23" t="str">
        <x:v>공통 확장 조합</x:v>
      </x:c>
      <x:c r="N60" s="23" t="s">
        <x:v>344</x:v>
      </x:c>
      <x:c r="O60" s="23" t="s">
        <x:v>345</x:v>
      </x:c>
    </x:row>
    <x:row r="61" ht="58" customHeight="1">
      <x:c r="A61" s="28" t="s">
        <x:v>16</x:v>
      </x:c>
      <x:c r="B61" s="23">
        <x:v>15</x:v>
      </x:c>
      <x:c r="C61" s="23" t="s">
        <x:v>98</x:v>
      </x:c>
      <x:c r="D61" s="23" t="s">
        <x:v>346</x:v>
      </x:c>
      <x:c r="E61" s="23" t="s">
        <x:v>11</x:v>
      </x:c>
      <x:c r="F61" s="23" t="s">
        <x:v>347</x:v>
      </x:c>
      <x:c r="G61" s="24">
        <x:v>6</x:v>
      </x:c>
      <x:c r="H61" s="24">
        <x:v>3</x:v>
      </x:c>
      <x:c r="I61" s="24">
        <x:v>0</x:v>
      </x:c>
      <x:c r="J61" s="23" t="s">
        <x:v>106</x:v>
      </x:c>
      <x:c r="K61" s="23" t="s">
        <x:v>348</x:v>
      </x:c>
      <x:c r="L61" s="23" t="s">
        <x:v>349</x:v>
      </x:c>
      <x:c r="M61" s="23" t="str">
        <x:v>공통 확장 조합</x:v>
      </x:c>
      <x:c r="N61" s="23" t="s">
        <x:v>315</x:v>
      </x:c>
      <x:c r="O61" s="23" t="s">
        <x:v>350</x:v>
      </x:c>
    </x:row>
    <x:row r="62" ht="58" customHeight="1">
      <x:c r="A62" s="25" t="s">
        <x:v>17</x:v>
      </x:c>
      <x:c r="B62" s="23">
        <x:v>1</x:v>
      </x:c>
      <x:c r="C62" s="23" t="s">
        <x:v>5</x:v>
      </x:c>
      <x:c r="D62" s="23" t="s">
        <x:v>351</x:v>
      </x:c>
      <x:c r="E62" s="23" t="s">
        <x:v>7</x:v>
      </x:c>
      <x:c r="F62" s="23" t="s">
        <x:v>352</x:v>
      </x:c>
      <x:c r="G62" s="24">
        <x:v>0</x:v>
      </x:c>
      <x:c r="H62" s="24">
        <x:v>1</x:v>
      </x:c>
      <x:c r="I62" s="24">
        <x:v>1</x:v>
      </x:c>
      <x:c r="J62" s="23" t="s">
        <x:v>46</x:v>
      </x:c>
      <x:c r="K62" s="23" t="s">
        <x:v>353</x:v>
      </x:c>
      <x:c r="L62" s="23" t="s">
        <x:v>354</x:v>
      </x:c>
      <x:c r="M62" s="23" t="s">
        <x:v>26</x:v>
      </x:c>
      <x:c r="N62" s="23"/>
      <x:c r="O62" s="23" t="s">
        <x:v>355</x:v>
      </x:c>
    </x:row>
    <x:row r="63" ht="58" customHeight="1">
      <x:c r="A63" s="25" t="s">
        <x:v>17</x:v>
      </x:c>
      <x:c r="B63" s="23">
        <x:v>2</x:v>
      </x:c>
      <x:c r="C63" s="23" t="s">
        <x:v>5</x:v>
      </x:c>
      <x:c r="D63" s="23" t="s">
        <x:v>356</x:v>
      </x:c>
      <x:c r="E63" s="23" t="s">
        <x:v>8</x:v>
      </x:c>
      <x:c r="F63" s="23" t="s">
        <x:v>212</x:v>
      </x:c>
      <x:c r="G63" s="24">
        <x:v>1</x:v>
      </x:c>
      <x:c r="H63" s="24">
        <x:v>1</x:v>
      </x:c>
      <x:c r="I63" s="24">
        <x:v>0</x:v>
      </x:c>
      <x:c r="J63" s="23" t="s">
        <x:v>46</x:v>
      </x:c>
      <x:c r="K63" s="23" t="s">
        <x:v>357</x:v>
      </x:c>
      <x:c r="L63" s="23" t="s">
        <x:v>80</x:v>
      </x:c>
      <x:c r="M63" s="23" t="s">
        <x:v>26</x:v>
      </x:c>
      <x:c r="N63" s="23"/>
      <x:c r="O63" s="23" t="s">
        <x:v>358</x:v>
      </x:c>
    </x:row>
    <x:row r="64" ht="58" customHeight="1">
      <x:c r="A64" s="25" t="s">
        <x:v>17</x:v>
      </x:c>
      <x:c r="B64" s="23">
        <x:v>3</x:v>
      </x:c>
      <x:c r="C64" s="23" t="s">
        <x:v>5</x:v>
      </x:c>
      <x:c r="D64" s="23" t="s">
        <x:v>359</x:v>
      </x:c>
      <x:c r="E64" s="23" t="s">
        <x:v>7</x:v>
      </x:c>
      <x:c r="F64" s="23" t="s">
        <x:v>207</x:v>
      </x:c>
      <x:c r="G64" s="24">
        <x:v>2</x:v>
      </x:c>
      <x:c r="H64" s="24">
        <x:v>2</x:v>
      </x:c>
      <x:c r="I64" s="24">
        <x:v>0</x:v>
      </x:c>
      <x:c r="J64" s="23" t="s">
        <x:v>106</x:v>
      </x:c>
      <x:c r="K64" s="23" t="s">
        <x:v>360</x:v>
      </x:c>
      <x:c r="L64" s="23" t="s">
        <x:v>80</x:v>
      </x:c>
      <x:c r="M64" s="23" t="s">
        <x:v>26</x:v>
      </x:c>
      <x:c r="N64" s="23"/>
      <x:c r="O64" s="23" t="s">
        <x:v>361</x:v>
      </x:c>
    </x:row>
    <x:row r="65" ht="58" customHeight="1">
      <x:c r="A65" s="25" t="s">
        <x:v>17</x:v>
      </x:c>
      <x:c r="B65" s="23">
        <x:v>4</x:v>
      </x:c>
      <x:c r="C65" s="23" t="s">
        <x:v>5</x:v>
      </x:c>
      <x:c r="D65" s="23" t="s">
        <x:v>362</x:v>
      </x:c>
      <x:c r="E65" s="23" t="s">
        <x:v>8</x:v>
      </x:c>
      <x:c r="F65" s="23" t="s">
        <x:v>363</x:v>
      </x:c>
      <x:c r="G65" s="24">
        <x:v>1</x:v>
      </x:c>
      <x:c r="H65" s="24">
        <x:v>1</x:v>
      </x:c>
      <x:c r="I65" s="24">
        <x:v>0</x:v>
      </x:c>
      <x:c r="J65" s="23" t="s">
        <x:v>46</x:v>
      </x:c>
      <x:c r="K65" s="23" t="s">
        <x:v>364</x:v>
      </x:c>
      <x:c r="L65" s="23" t="s">
        <x:v>80</x:v>
      </x:c>
      <x:c r="M65" s="23" t="str">
        <x:v>개별 연계 구현 필요</x:v>
      </x:c>
      <x:c r="N65" s="23" t="s">
        <x:v>365</x:v>
      </x:c>
      <x:c r="O65" s="23" t="s">
        <x:v>366</x:v>
      </x:c>
    </x:row>
    <x:row r="66" ht="58" customHeight="1">
      <x:c r="A66" s="25" t="s">
        <x:v>17</x:v>
      </x:c>
      <x:c r="B66" s="23">
        <x:v>5</x:v>
      </x:c>
      <x:c r="C66" s="23" t="s">
        <x:v>5</x:v>
      </x:c>
      <x:c r="D66" s="23" t="s">
        <x:v>367</x:v>
      </x:c>
      <x:c r="E66" s="23" t="s">
        <x:v>9</x:v>
      </x:c>
      <x:c r="F66" s="23" t="s">
        <x:v>368</x:v>
      </x:c>
      <x:c r="G66" s="24">
        <x:v>2</x:v>
      </x:c>
      <x:c r="H66" s="24">
        <x:v>1</x:v>
      </x:c>
      <x:c r="I66" s="24">
        <x:v>0</x:v>
      </x:c>
      <x:c r="J66" s="23" t="s">
        <x:v>46</x:v>
      </x:c>
      <x:c r="K66" s="23" t="s">
        <x:v>369</x:v>
      </x:c>
      <x:c r="L66" s="23" t="s">
        <x:v>80</x:v>
      </x:c>
      <x:c r="M66" s="23" t="str">
        <x:v>개별 연계 구현 필요</x:v>
      </x:c>
      <x:c r="N66" s="23" t="s">
        <x:v>370</x:v>
      </x:c>
      <x:c r="O66" s="23" t="s">
        <x:v>371</x:v>
      </x:c>
    </x:row>
    <x:row r="67" ht="58" customHeight="1">
      <x:c r="A67" s="25" t="s">
        <x:v>17</x:v>
      </x:c>
      <x:c r="B67" s="23">
        <x:v>6</x:v>
      </x:c>
      <x:c r="C67" s="23" t="s">
        <x:v>5</x:v>
      </x:c>
      <x:c r="D67" s="23" t="s">
        <x:v>372</x:v>
      </x:c>
      <x:c r="E67" s="23" t="s">
        <x:v>7</x:v>
      </x:c>
      <x:c r="F67" s="23" t="s">
        <x:v>373</x:v>
      </x:c>
      <x:c r="G67" s="24">
        <x:v>2</x:v>
      </x:c>
      <x:c r="H67" s="24">
        <x:v>1</x:v>
      </x:c>
      <x:c r="I67" s="24">
        <x:v>0</x:v>
      </x:c>
      <x:c r="J67" s="23" t="s">
        <x:v>46</x:v>
      </x:c>
      <x:c r="K67" s="23" t="s">
        <x:v>374</x:v>
      </x:c>
      <x:c r="L67" s="23" t="s">
        <x:v>80</x:v>
      </x:c>
      <x:c r="M67" s="23" t="str">
        <x:v>개별 연계 구현 필요</x:v>
      </x:c>
      <x:c r="N67" s="23" t="s">
        <x:v>365</x:v>
      </x:c>
      <x:c r="O67" s="23" t="s">
        <x:v>375</x:v>
      </x:c>
    </x:row>
    <x:row r="68" ht="58" customHeight="1">
      <x:c r="A68" s="25" t="s">
        <x:v>17</x:v>
      </x:c>
      <x:c r="B68" s="23">
        <x:v>7</x:v>
      </x:c>
      <x:c r="C68" s="23" t="s">
        <x:v>5</x:v>
      </x:c>
      <x:c r="D68" s="23" t="s">
        <x:v>376</x:v>
      </x:c>
      <x:c r="E68" s="23" t="s">
        <x:v>9</x:v>
      </x:c>
      <x:c r="F68" s="23" t="s">
        <x:v>377</x:v>
      </x:c>
      <x:c r="G68" s="24">
        <x:v>4</x:v>
      </x:c>
      <x:c r="H68" s="24">
        <x:v>1</x:v>
      </x:c>
      <x:c r="I68" s="24">
        <x:v>0</x:v>
      </x:c>
      <x:c r="J68" s="23" t="s">
        <x:v>46</x:v>
      </x:c>
      <x:c r="K68" s="23" t="s">
        <x:v>378</x:v>
      </x:c>
      <x:c r="L68" s="23" t="s">
        <x:v>80</x:v>
      </x:c>
      <x:c r="M68" s="23" t="str">
        <x:v>개별 연계 구현 필요</x:v>
      </x:c>
      <x:c r="N68" s="23" t="s">
        <x:v>365</x:v>
      </x:c>
      <x:c r="O68" s="23" t="s">
        <x:v>379</x:v>
      </x:c>
    </x:row>
    <x:row r="69" ht="58" customHeight="1">
      <x:c r="A69" s="25" t="s">
        <x:v>17</x:v>
      </x:c>
      <x:c r="B69" s="23">
        <x:v>8</x:v>
      </x:c>
      <x:c r="C69" s="23" t="s">
        <x:v>5</x:v>
      </x:c>
      <x:c r="D69" s="23" t="s">
        <x:v>380</x:v>
      </x:c>
      <x:c r="E69" s="23" t="s">
        <x:v>8</x:v>
      </x:c>
      <x:c r="F69" s="23" t="s">
        <x:v>381</x:v>
      </x:c>
      <x:c r="G69" s="24">
        <x:v>2</x:v>
      </x:c>
      <x:c r="H69" s="24">
        <x:v>1</x:v>
      </x:c>
      <x:c r="I69" s="24">
        <x:v>0</x:v>
      </x:c>
      <x:c r="J69" s="23" t="s">
        <x:v>46</x:v>
      </x:c>
      <x:c r="K69" s="23" t="s">
        <x:v>382</x:v>
      </x:c>
      <x:c r="L69" s="23" t="s">
        <x:v>80</x:v>
      </x:c>
      <x:c r="M69" s="23" t="str">
        <x:v>개별 연계 구현 필요</x:v>
      </x:c>
      <x:c r="N69" s="23" t="s">
        <x:v>224</x:v>
      </x:c>
      <x:c r="O69" s="23" t="s">
        <x:v>383</x:v>
      </x:c>
    </x:row>
    <x:row r="70" ht="58" customHeight="1">
      <x:c r="A70" s="25" t="s">
        <x:v>17</x:v>
      </x:c>
      <x:c r="B70" s="23">
        <x:v>9</x:v>
      </x:c>
      <x:c r="C70" s="23" t="s">
        <x:v>5</x:v>
      </x:c>
      <x:c r="D70" s="23" t="s">
        <x:v>384</x:v>
      </x:c>
      <x:c r="E70" s="23" t="s">
        <x:v>8</x:v>
      </x:c>
      <x:c r="F70" s="23" t="s">
        <x:v>385</x:v>
      </x:c>
      <x:c r="G70" s="24">
        <x:v>2</x:v>
      </x:c>
      <x:c r="H70" s="24">
        <x:v>1</x:v>
      </x:c>
      <x:c r="I70" s="24">
        <x:v>0</x:v>
      </x:c>
      <x:c r="J70" s="23" t="s">
        <x:v>46</x:v>
      </x:c>
      <x:c r="K70" s="23" t="s">
        <x:v>386</x:v>
      </x:c>
      <x:c r="L70" s="23" t="s">
        <x:v>387</x:v>
      </x:c>
      <x:c r="M70" s="23" t="str">
        <x:v>공통 확장 조합</x:v>
      </x:c>
      <x:c r="N70" s="23" t="s">
        <x:v>230</x:v>
      </x:c>
      <x:c r="O70" s="23" t="s">
        <x:v>388</x:v>
      </x:c>
    </x:row>
    <x:row r="71" ht="58" customHeight="1">
      <x:c r="A71" s="25" t="s">
        <x:v>17</x:v>
      </x:c>
      <x:c r="B71" s="23">
        <x:v>10</x:v>
      </x:c>
      <x:c r="C71" s="23" t="s">
        <x:v>5</x:v>
      </x:c>
      <x:c r="D71" s="23" t="s">
        <x:v>389</x:v>
      </x:c>
      <x:c r="E71" s="23" t="s">
        <x:v>10</x:v>
      </x:c>
      <x:c r="F71" s="23" t="s">
        <x:v>390</x:v>
      </x:c>
      <x:c r="G71" s="24">
        <x:v>3</x:v>
      </x:c>
      <x:c r="H71" s="24">
        <x:v>1</x:v>
      </x:c>
      <x:c r="I71" s="24">
        <x:v>0</x:v>
      </x:c>
      <x:c r="J71" s="23" t="s">
        <x:v>46</x:v>
      </x:c>
      <x:c r="K71" s="23" t="s">
        <x:v>391</x:v>
      </x:c>
      <x:c r="L71" s="23" t="s">
        <x:v>392</x:v>
      </x:c>
      <x:c r="M71" s="23" t="str">
        <x:v>개별 연계 구현 필요</x:v>
      </x:c>
      <x:c r="N71" s="23" t="s">
        <x:v>370</x:v>
      </x:c>
      <x:c r="O71" s="23" t="s">
        <x:v>393</x:v>
      </x:c>
    </x:row>
    <x:row r="72" ht="58" customHeight="1">
      <x:c r="A72" s="25" t="s">
        <x:v>17</x:v>
      </x:c>
      <x:c r="B72" s="23">
        <x:v>11</x:v>
      </x:c>
      <x:c r="C72" s="23" t="s">
        <x:v>98</x:v>
      </x:c>
      <x:c r="D72" s="23" t="s">
        <x:v>394</x:v>
      </x:c>
      <x:c r="E72" s="23" t="s">
        <x:v>9</x:v>
      </x:c>
      <x:c r="F72" s="23" t="s">
        <x:v>395</x:v>
      </x:c>
      <x:c r="G72" s="24">
        <x:v>2</x:v>
      </x:c>
      <x:c r="H72" s="24">
        <x:v>1</x:v>
      </x:c>
      <x:c r="I72" s="24">
        <x:v>0</x:v>
      </x:c>
      <x:c r="J72" s="23" t="s">
        <x:v>46</x:v>
      </x:c>
      <x:c r="K72" s="23" t="s">
        <x:v>396</x:v>
      </x:c>
      <x:c r="L72" s="23" t="s">
        <x:v>80</x:v>
      </x:c>
      <x:c r="M72" s="23" t="str">
        <x:v>공통 확장 조합</x:v>
      </x:c>
      <x:c r="N72" s="23" t="s">
        <x:v>397</x:v>
      </x:c>
      <x:c r="O72" s="23" t="s">
        <x:v>398</x:v>
      </x:c>
    </x:row>
    <x:row r="73" ht="58" customHeight="1">
      <x:c r="A73" s="25" t="s">
        <x:v>17</x:v>
      </x:c>
      <x:c r="B73" s="23">
        <x:v>12</x:v>
      </x:c>
      <x:c r="C73" s="23" t="s">
        <x:v>98</x:v>
      </x:c>
      <x:c r="D73" s="23" t="s">
        <x:v>399</x:v>
      </x:c>
      <x:c r="E73" s="23" t="s">
        <x:v>9</x:v>
      </x:c>
      <x:c r="F73" s="23" t="s">
        <x:v>400</x:v>
      </x:c>
      <x:c r="G73" s="24">
        <x:v>3</x:v>
      </x:c>
      <x:c r="H73" s="24">
        <x:v>1</x:v>
      </x:c>
      <x:c r="I73" s="24">
        <x:v>0</x:v>
      </x:c>
      <x:c r="J73" s="23" t="s">
        <x:v>46</x:v>
      </x:c>
      <x:c r="K73" s="23" t="s">
        <x:v>401</x:v>
      </x:c>
      <x:c r="L73" s="23" t="s">
        <x:v>80</x:v>
      </x:c>
      <x:c r="M73" s="23" t="str">
        <x:v>개별 연계 구현 필요</x:v>
      </x:c>
      <x:c r="N73" s="23" t="s">
        <x:v>397</x:v>
      </x:c>
      <x:c r="O73" s="23" t="s">
        <x:v>402</x:v>
      </x:c>
    </x:row>
    <x:row r="74" ht="58" customHeight="1">
      <x:c r="A74" s="25" t="s">
        <x:v>17</x:v>
      </x:c>
      <x:c r="B74" s="23">
        <x:v>13</x:v>
      </x:c>
      <x:c r="C74" s="23" t="s">
        <x:v>98</x:v>
      </x:c>
      <x:c r="D74" s="23" t="s">
        <x:v>403</x:v>
      </x:c>
      <x:c r="E74" s="23" t="s">
        <x:v>10</x:v>
      </x:c>
      <x:c r="F74" s="23" t="s">
        <x:v>404</x:v>
      </x:c>
      <x:c r="G74" s="24">
        <x:v>3</x:v>
      </x:c>
      <x:c r="H74" s="24">
        <x:v>2</x:v>
      </x:c>
      <x:c r="I74" s="24">
        <x:v>0</x:v>
      </x:c>
      <x:c r="J74" s="23" t="s">
        <x:v>46</x:v>
      </x:c>
      <x:c r="K74" s="23" t="s">
        <x:v>405</x:v>
      </x:c>
      <x:c r="L74" s="23" t="s">
        <x:v>80</x:v>
      </x:c>
      <x:c r="M74" s="23" t="str">
        <x:v>개별 연계 구현 필요</x:v>
      </x:c>
      <x:c r="N74" s="23" t="s">
        <x:v>224</x:v>
      </x:c>
      <x:c r="O74" s="23" t="s">
        <x:v>406</x:v>
      </x:c>
    </x:row>
    <x:row r="75" ht="58" customHeight="1">
      <x:c r="A75" s="25" t="s">
        <x:v>17</x:v>
      </x:c>
      <x:c r="B75" s="23">
        <x:v>14</x:v>
      </x:c>
      <x:c r="C75" s="23" t="s">
        <x:v>98</x:v>
      </x:c>
      <x:c r="D75" s="23" t="s">
        <x:v>407</x:v>
      </x:c>
      <x:c r="E75" s="23" t="s">
        <x:v>12</x:v>
      </x:c>
      <x:c r="F75" s="23" t="s">
        <x:v>408</x:v>
      </x:c>
      <x:c r="G75" s="24">
        <x:v>3</x:v>
      </x:c>
      <x:c r="H75" s="24">
        <x:v>1</x:v>
      </x:c>
      <x:c r="I75" s="24">
        <x:v>0</x:v>
      </x:c>
      <x:c r="J75" s="23" t="s">
        <x:v>72</x:v>
      </x:c>
      <x:c r="K75" s="23" t="s">
        <x:v>409</x:v>
      </x:c>
      <x:c r="L75" s="23" t="s">
        <x:v>410</x:v>
      </x:c>
      <x:c r="M75" s="23" t="str">
        <x:v>개별 연계 구현 필요</x:v>
      </x:c>
      <x:c r="N75" s="23" t="s">
        <x:v>365</x:v>
      </x:c>
      <x:c r="O75" s="23" t="s">
        <x:v>411</x:v>
      </x:c>
    </x:row>
    <x:row r="76" ht="58" customHeight="1">
      <x:c r="A76" s="25" t="s">
        <x:v>17</x:v>
      </x:c>
      <x:c r="B76" s="23">
        <x:v>15</x:v>
      </x:c>
      <x:c r="C76" s="23" t="s">
        <x:v>98</x:v>
      </x:c>
      <x:c r="D76" s="23" t="s">
        <x:v>412</x:v>
      </x:c>
      <x:c r="E76" s="23" t="s">
        <x:v>11</x:v>
      </x:c>
      <x:c r="F76" s="23" t="s">
        <x:v>413</x:v>
      </x:c>
      <x:c r="G76" s="24">
        <x:v>5</x:v>
      </x:c>
      <x:c r="H76" s="24">
        <x:v>2</x:v>
      </x:c>
      <x:c r="I76" s="24">
        <x:v>0</x:v>
      </x:c>
      <x:c r="J76" s="23" t="s">
        <x:v>72</x:v>
      </x:c>
      <x:c r="K76" s="23" t="s">
        <x:v>414</x:v>
      </x:c>
      <x:c r="L76" s="23" t="s">
        <x:v>80</x:v>
      </x:c>
      <x:c r="M76" s="23" t="str">
        <x:v>개별 연계 구현 필요</x:v>
      </x:c>
      <x:c r="N76" s="23" t="s">
        <x:v>415</x:v>
      </x:c>
      <x:c r="O76" s="23" t="s">
        <x:v>416</x:v>
      </x:c>
    </x:row>
    <x:row r="77" ht="58" customHeight="1">
      <x:c r="A77" s="25" t="s">
        <x:v>18</x:v>
      </x:c>
      <x:c r="B77" s="23">
        <x:v>1</x:v>
      </x:c>
      <x:c r="C77" s="23" t="s">
        <x:v>5</x:v>
      </x:c>
      <x:c r="D77" s="23" t="s">
        <x:v>417</x:v>
      </x:c>
      <x:c r="E77" s="23" t="s">
        <x:v>7</x:v>
      </x:c>
      <x:c r="F77" s="23" t="s">
        <x:v>418</x:v>
      </x:c>
      <x:c r="G77" s="24">
        <x:v>0</x:v>
      </x:c>
      <x:c r="H77" s="24">
        <x:v>1</x:v>
      </x:c>
      <x:c r="I77" s="24">
        <x:v>1</x:v>
      </x:c>
      <x:c r="J77" s="23" t="s">
        <x:v>46</x:v>
      </x:c>
      <x:c r="K77" s="23" t="s">
        <x:v>419</x:v>
      </x:c>
      <x:c r="L77" s="23" t="s">
        <x:v>420</x:v>
      </x:c>
      <x:c r="M77" s="23" t="s">
        <x:v>24</x:v>
      </x:c>
      <x:c r="N77" s="23"/>
      <x:c r="O77" s="23" t="s">
        <x:v>421</x:v>
      </x:c>
    </x:row>
    <x:row r="78" ht="58" customHeight="1">
      <x:c r="A78" s="25" t="s">
        <x:v>18</x:v>
      </x:c>
      <x:c r="B78" s="23">
        <x:v>2</x:v>
      </x:c>
      <x:c r="C78" s="23" t="s">
        <x:v>5</x:v>
      </x:c>
      <x:c r="D78" s="23" t="s">
        <x:v>422</x:v>
      </x:c>
      <x:c r="E78" s="23" t="s">
        <x:v>7</x:v>
      </x:c>
      <x:c r="F78" s="23" t="s">
        <x:v>423</x:v>
      </x:c>
      <x:c r="G78" s="24">
        <x:v>1</x:v>
      </x:c>
      <x:c r="H78" s="24">
        <x:v>1</x:v>
      </x:c>
      <x:c r="I78" s="24">
        <x:v>1</x:v>
      </x:c>
      <x:c r="J78" s="23" t="s">
        <x:v>46</x:v>
      </x:c>
      <x:c r="K78" s="23" t="s">
        <x:v>424</x:v>
      </x:c>
      <x:c r="L78" s="23" t="s">
        <x:v>425</x:v>
      </x:c>
      <x:c r="M78" s="23" t="str">
        <x:v>개별 연계 구현 필요</x:v>
      </x:c>
      <x:c r="N78" s="23" t="s">
        <x:v>426</x:v>
      </x:c>
      <x:c r="O78" s="23" t="s">
        <x:v>427</x:v>
      </x:c>
    </x:row>
    <x:row r="79" ht="58" customHeight="1">
      <x:c r="A79" s="25" t="s">
        <x:v>18</x:v>
      </x:c>
      <x:c r="B79" s="23">
        <x:v>3</x:v>
      </x:c>
      <x:c r="C79" s="23" t="s">
        <x:v>5</x:v>
      </x:c>
      <x:c r="D79" s="23" t="s">
        <x:v>428</x:v>
      </x:c>
      <x:c r="E79" s="23" t="s">
        <x:v>8</x:v>
      </x:c>
      <x:c r="F79" s="23" t="s">
        <x:v>429</x:v>
      </x:c>
      <x:c r="G79" s="24">
        <x:v>2</x:v>
      </x:c>
      <x:c r="H79" s="24">
        <x:v>1</x:v>
      </x:c>
      <x:c r="I79" s="24">
        <x:v>1</x:v>
      </x:c>
      <x:c r="J79" s="23" t="s">
        <x:v>46</x:v>
      </x:c>
      <x:c r="K79" s="23" t="s">
        <x:v>430</x:v>
      </x:c>
      <x:c r="L79" s="23" t="s">
        <x:v>162</x:v>
      </x:c>
      <x:c r="M79" s="23" t="str">
        <x:v>개별 연계 구현 필요</x:v>
      </x:c>
      <x:c r="N79" s="23" t="s">
        <x:v>184</x:v>
      </x:c>
      <x:c r="O79" s="23" t="s">
        <x:v>431</x:v>
      </x:c>
    </x:row>
    <x:row r="80" ht="58" customHeight="1">
      <x:c r="A80" s="25" t="s">
        <x:v>18</x:v>
      </x:c>
      <x:c r="B80" s="23">
        <x:v>4</x:v>
      </x:c>
      <x:c r="C80" s="23" t="s">
        <x:v>5</x:v>
      </x:c>
      <x:c r="D80" s="23" t="s">
        <x:v>432</x:v>
      </x:c>
      <x:c r="E80" s="23" t="s">
        <x:v>7</x:v>
      </x:c>
      <x:c r="F80" s="23" t="s">
        <x:v>433</x:v>
      </x:c>
      <x:c r="G80" s="24">
        <x:v>2</x:v>
      </x:c>
      <x:c r="H80" s="24">
        <x:v>1</x:v>
      </x:c>
      <x:c r="I80" s="24">
        <x:v>0</x:v>
      </x:c>
      <x:c r="J80" s="23" t="s">
        <x:v>72</x:v>
      </x:c>
      <x:c r="K80" s="23" t="s">
        <x:v>434</x:v>
      </x:c>
      <x:c r="L80" s="23" t="s">
        <x:v>80</x:v>
      </x:c>
      <x:c r="M80" s="23" t="str">
        <x:v>개별 연계 구현 필요</x:v>
      </x:c>
      <x:c r="N80" s="23" t="s">
        <x:v>75</x:v>
      </x:c>
      <x:c r="O80" s="23" t="s">
        <x:v>435</x:v>
      </x:c>
    </x:row>
    <x:row r="81" ht="58" customHeight="1">
      <x:c r="A81" s="25" t="s">
        <x:v>18</x:v>
      </x:c>
      <x:c r="B81" s="23">
        <x:v>5</x:v>
      </x:c>
      <x:c r="C81" s="23" t="s">
        <x:v>5</x:v>
      </x:c>
      <x:c r="D81" s="23" t="s">
        <x:v>436</x:v>
      </x:c>
      <x:c r="E81" s="23" t="s">
        <x:v>8</x:v>
      </x:c>
      <x:c r="F81" s="23" t="s">
        <x:v>437</x:v>
      </x:c>
      <x:c r="G81" s="24">
        <x:v>3</x:v>
      </x:c>
      <x:c r="H81" s="24">
        <x:v>1</x:v>
      </x:c>
      <x:c r="I81" s="24">
        <x:v>0</x:v>
      </x:c>
      <x:c r="J81" s="23" t="s">
        <x:v>72</x:v>
      </x:c>
      <x:c r="K81" s="23" t="s">
        <x:v>438</x:v>
      </x:c>
      <x:c r="L81" s="23" t="s">
        <x:v>80</x:v>
      </x:c>
      <x:c r="M81" s="23" t="str">
        <x:v>개별 연계 구현 필요</x:v>
      </x:c>
      <x:c r="N81" s="23" t="s">
        <x:v>439</x:v>
      </x:c>
      <x:c r="O81" s="23" t="s">
        <x:v>440</x:v>
      </x:c>
    </x:row>
    <x:row r="82" ht="58" customHeight="1">
      <x:c r="A82" s="25" t="s">
        <x:v>18</x:v>
      </x:c>
      <x:c r="B82" s="23">
        <x:v>6</x:v>
      </x:c>
      <x:c r="C82" s="23" t="s">
        <x:v>5</x:v>
      </x:c>
      <x:c r="D82" s="23" t="s">
        <x:v>441</x:v>
      </x:c>
      <x:c r="E82" s="23" t="s">
        <x:v>9</x:v>
      </x:c>
      <x:c r="F82" s="23" t="s">
        <x:v>442</x:v>
      </x:c>
      <x:c r="G82" s="24">
        <x:v>4</x:v>
      </x:c>
      <x:c r="H82" s="24">
        <x:v>1</x:v>
      </x:c>
      <x:c r="I82" s="24">
        <x:v>0</x:v>
      </x:c>
      <x:c r="J82" s="23" t="s">
        <x:v>72</x:v>
      </x:c>
      <x:c r="K82" s="23" t="s">
        <x:v>443</x:v>
      </x:c>
      <x:c r="L82" s="23" t="s">
        <x:v>80</x:v>
      </x:c>
      <x:c r="M82" s="23" t="str">
        <x:v>개별 연계 구현 필요</x:v>
      </x:c>
      <x:c r="N82" s="23" t="s">
        <x:v>439</x:v>
      </x:c>
      <x:c r="O82" s="23" t="s">
        <x:v>444</x:v>
      </x:c>
    </x:row>
    <x:row r="83" ht="58" customHeight="1">
      <x:c r="A83" s="25" t="s">
        <x:v>18</x:v>
      </x:c>
      <x:c r="B83" s="23">
        <x:v>7</x:v>
      </x:c>
      <x:c r="C83" s="23" t="s">
        <x:v>5</x:v>
      </x:c>
      <x:c r="D83" s="23" t="s">
        <x:v>445</x:v>
      </x:c>
      <x:c r="E83" s="23" t="s">
        <x:v>8</x:v>
      </x:c>
      <x:c r="F83" s="23" t="s">
        <x:v>446</x:v>
      </x:c>
      <x:c r="G83" s="24">
        <x:v>2</x:v>
      </x:c>
      <x:c r="H83" s="24">
        <x:v>1</x:v>
      </x:c>
      <x:c r="I83" s="24">
        <x:v>0</x:v>
      </x:c>
      <x:c r="J83" s="23" t="s">
        <x:v>72</x:v>
      </x:c>
      <x:c r="K83" s="23" t="s">
        <x:v>447</x:v>
      </x:c>
      <x:c r="L83" s="23" t="s">
        <x:v>448</x:v>
      </x:c>
      <x:c r="M83" s="23" t="str">
        <x:v>개별 연계 구현 필요</x:v>
      </x:c>
      <x:c r="N83" s="23" t="s">
        <x:v>449</x:v>
      </x:c>
      <x:c r="O83" s="23" t="s">
        <x:v>450</x:v>
      </x:c>
    </x:row>
    <x:row r="84" ht="58" customHeight="1">
      <x:c r="A84" s="25" t="s">
        <x:v>18</x:v>
      </x:c>
      <x:c r="B84" s="23">
        <x:v>8</x:v>
      </x:c>
      <x:c r="C84" s="23" t="s">
        <x:v>5</x:v>
      </x:c>
      <x:c r="D84" s="23" t="s">
        <x:v>451</x:v>
      </x:c>
      <x:c r="E84" s="23" t="s">
        <x:v>8</x:v>
      </x:c>
      <x:c r="F84" s="23" t="s">
        <x:v>452</x:v>
      </x:c>
      <x:c r="G84" s="24">
        <x:v>0</x:v>
      </x:c>
      <x:c r="H84" s="24">
        <x:v>1</x:v>
      </x:c>
      <x:c r="I84" s="24">
        <x:v>0</x:v>
      </x:c>
      <x:c r="J84" s="23" t="s">
        <x:v>72</x:v>
      </x:c>
      <x:c r="K84" s="23" t="s">
        <x:v>453</x:v>
      </x:c>
      <x:c r="L84" s="23" t="s">
        <x:v>80</x:v>
      </x:c>
      <x:c r="M84" s="23" t="str">
        <x:v>개별 연계 구현 필요</x:v>
      </x:c>
      <x:c r="N84" s="23" t="s">
        <x:v>454</x:v>
      </x:c>
      <x:c r="O84" s="23" t="s">
        <x:v>455</x:v>
      </x:c>
    </x:row>
    <x:row r="85" ht="58" customHeight="1">
      <x:c r="A85" s="25" t="s">
        <x:v>18</x:v>
      </x:c>
      <x:c r="B85" s="23">
        <x:v>9</x:v>
      </x:c>
      <x:c r="C85" s="23" t="s">
        <x:v>5</x:v>
      </x:c>
      <x:c r="D85" s="23" t="s">
        <x:v>456</x:v>
      </x:c>
      <x:c r="E85" s="23" t="s">
        <x:v>9</x:v>
      </x:c>
      <x:c r="F85" s="23" t="s">
        <x:v>457</x:v>
      </x:c>
      <x:c r="G85" s="24">
        <x:v>0</x:v>
      </x:c>
      <x:c r="H85" s="24">
        <x:v>1</x:v>
      </x:c>
      <x:c r="I85" s="24">
        <x:v>0</x:v>
      </x:c>
      <x:c r="J85" s="23" t="s">
        <x:v>72</x:v>
      </x:c>
      <x:c r="K85" s="23" t="s">
        <x:v>458</x:v>
      </x:c>
      <x:c r="L85" s="23" t="s">
        <x:v>80</x:v>
      </x:c>
      <x:c r="M85" s="23" t="str">
        <x:v>개별 연계 구현 필요</x:v>
      </x:c>
      <x:c r="N85" s="23" t="s">
        <x:v>454</x:v>
      </x:c>
      <x:c r="O85" s="23" t="s">
        <x:v>459</x:v>
      </x:c>
    </x:row>
    <x:row r="86" ht="58" customHeight="1">
      <x:c r="A86" s="25" t="s">
        <x:v>18</x:v>
      </x:c>
      <x:c r="B86" s="23">
        <x:v>10</x:v>
      </x:c>
      <x:c r="C86" s="23" t="s">
        <x:v>5</x:v>
      </x:c>
      <x:c r="D86" s="23" t="s">
        <x:v>460</x:v>
      </x:c>
      <x:c r="E86" s="23" t="s">
        <x:v>11</x:v>
      </x:c>
      <x:c r="F86" s="23" t="s">
        <x:v>461</x:v>
      </x:c>
      <x:c r="G86" s="24">
        <x:v>0</x:v>
      </x:c>
      <x:c r="H86" s="24">
        <x:v>1</x:v>
      </x:c>
      <x:c r="I86" s="24">
        <x:v>0</x:v>
      </x:c>
      <x:c r="J86" s="23" t="s">
        <x:v>72</x:v>
      </x:c>
      <x:c r="K86" s="23" t="s">
        <x:v>462</x:v>
      </x:c>
      <x:c r="L86" s="23" t="s">
        <x:v>80</x:v>
      </x:c>
      <x:c r="M86" s="23" t="str">
        <x:v>개별 연계 구현 필요</x:v>
      </x:c>
      <x:c r="N86" s="23" t="s">
        <x:v>463</x:v>
      </x:c>
      <x:c r="O86" s="23" t="s">
        <x:v>464</x:v>
      </x:c>
    </x:row>
    <x:row r="87" ht="58" customHeight="1">
      <x:c r="A87" s="25" t="s">
        <x:v>18</x:v>
      </x:c>
      <x:c r="B87" s="23">
        <x:v>11</x:v>
      </x:c>
      <x:c r="C87" s="23" t="s">
        <x:v>98</x:v>
      </x:c>
      <x:c r="D87" s="23" t="s">
        <x:v>465</x:v>
      </x:c>
      <x:c r="E87" s="23" t="s">
        <x:v>9</x:v>
      </x:c>
      <x:c r="F87" s="23" t="s">
        <x:v>466</x:v>
      </x:c>
      <x:c r="G87" s="24">
        <x:v>3</x:v>
      </x:c>
      <x:c r="H87" s="24">
        <x:v>1</x:v>
      </x:c>
      <x:c r="I87" s="24">
        <x:v>0</x:v>
      </x:c>
      <x:c r="J87" s="23" t="s">
        <x:v>72</x:v>
      </x:c>
      <x:c r="K87" s="23" t="s">
        <x:v>467</x:v>
      </x:c>
      <x:c r="L87" s="23" t="s">
        <x:v>80</x:v>
      </x:c>
      <x:c r="M87" s="23" t="str">
        <x:v>개별 연계 구현 필요</x:v>
      </x:c>
      <x:c r="N87" s="23" t="s">
        <x:v>468</x:v>
      </x:c>
      <x:c r="O87" s="23" t="s">
        <x:v>469</x:v>
      </x:c>
    </x:row>
    <x:row r="88" ht="58" customHeight="1">
      <x:c r="A88" s="25" t="s">
        <x:v>18</x:v>
      </x:c>
      <x:c r="B88" s="23">
        <x:v>12</x:v>
      </x:c>
      <x:c r="C88" s="23" t="s">
        <x:v>98</x:v>
      </x:c>
      <x:c r="D88" s="23" t="s">
        <x:v>470</x:v>
      </x:c>
      <x:c r="E88" s="23" t="s">
        <x:v>10</x:v>
      </x:c>
      <x:c r="F88" s="23" t="s">
        <x:v>471</x:v>
      </x:c>
      <x:c r="G88" s="24">
        <x:v>4</x:v>
      </x:c>
      <x:c r="H88" s="24">
        <x:v>1</x:v>
      </x:c>
      <x:c r="I88" s="24">
        <x:v>0</x:v>
      </x:c>
      <x:c r="J88" s="23" t="s">
        <x:v>72</x:v>
      </x:c>
      <x:c r="K88" s="23" t="s">
        <x:v>472</x:v>
      </x:c>
      <x:c r="L88" s="23" t="s">
        <x:v>80</x:v>
      </x:c>
      <x:c r="M88" s="23" t="str">
        <x:v>개별 연계 구현 필요</x:v>
      </x:c>
      <x:c r="N88" s="23" t="s">
        <x:v>473</x:v>
      </x:c>
      <x:c r="O88" s="23" t="s">
        <x:v>474</x:v>
      </x:c>
    </x:row>
    <x:row r="89" ht="58" customHeight="1">
      <x:c r="A89" s="25" t="s">
        <x:v>18</x:v>
      </x:c>
      <x:c r="B89" s="23">
        <x:v>13</x:v>
      </x:c>
      <x:c r="C89" s="23" t="s">
        <x:v>98</x:v>
      </x:c>
      <x:c r="D89" s="23" t="s">
        <x:v>475</x:v>
      </x:c>
      <x:c r="E89" s="23" t="s">
        <x:v>9</x:v>
      </x:c>
      <x:c r="F89" s="23" t="s">
        <x:v>476</x:v>
      </x:c>
      <x:c r="G89" s="24">
        <x:v>2</x:v>
      </x:c>
      <x:c r="H89" s="24">
        <x:v>2</x:v>
      </x:c>
      <x:c r="I89" s="24">
        <x:v>1</x:v>
      </x:c>
      <x:c r="J89" s="23" t="s">
        <x:v>46</x:v>
      </x:c>
      <x:c r="K89" s="23" t="s">
        <x:v>477</x:v>
      </x:c>
      <x:c r="L89" s="23" t="s">
        <x:v>126</x:v>
      </x:c>
      <x:c r="M89" s="23" t="str">
        <x:v>개별 연계 구현 필요</x:v>
      </x:c>
      <x:c r="N89" s="23" t="s">
        <x:v>439</x:v>
      </x:c>
      <x:c r="O89" s="23" t="s">
        <x:v>478</x:v>
      </x:c>
    </x:row>
    <x:row r="90" ht="58" customHeight="1">
      <x:c r="A90" s="25" t="s">
        <x:v>18</x:v>
      </x:c>
      <x:c r="B90" s="23">
        <x:v>14</x:v>
      </x:c>
      <x:c r="C90" s="23" t="s">
        <x:v>98</x:v>
      </x:c>
      <x:c r="D90" s="23" t="s">
        <x:v>479</x:v>
      </x:c>
      <x:c r="E90" s="23" t="s">
        <x:v>10</x:v>
      </x:c>
      <x:c r="F90" s="23" t="s">
        <x:v>480</x:v>
      </x:c>
      <x:c r="G90" s="24">
        <x:v>5</x:v>
      </x:c>
      <x:c r="H90" s="24">
        <x:v>1</x:v>
      </x:c>
      <x:c r="I90" s="24">
        <x:v>0</x:v>
      </x:c>
      <x:c r="J90" s="23" t="s">
        <x:v>72</x:v>
      </x:c>
      <x:c r="K90" s="23" t="s">
        <x:v>481</x:v>
      </x:c>
      <x:c r="L90" s="23" t="s">
        <x:v>80</x:v>
      </x:c>
      <x:c r="M90" s="23" t="str">
        <x:v>개별 연계 구현 필요</x:v>
      </x:c>
      <x:c r="N90" s="23" t="s">
        <x:v>482</x:v>
      </x:c>
      <x:c r="O90" s="23" t="s">
        <x:v>483</x:v>
      </x:c>
    </x:row>
    <x:row r="91" ht="58" customHeight="1">
      <x:c r="A91" s="25" t="s">
        <x:v>18</x:v>
      </x:c>
      <x:c r="B91" s="23">
        <x:v>15</x:v>
      </x:c>
      <x:c r="C91" s="23" t="s">
        <x:v>98</x:v>
      </x:c>
      <x:c r="D91" s="23" t="s">
        <x:v>484</x:v>
      </x:c>
      <x:c r="E91" s="23" t="s">
        <x:v>12</x:v>
      </x:c>
      <x:c r="F91" s="23" t="s">
        <x:v>485</x:v>
      </x:c>
      <x:c r="G91" s="24">
        <x:v>4</x:v>
      </x:c>
      <x:c r="H91" s="24">
        <x:v>1</x:v>
      </x:c>
      <x:c r="I91" s="24">
        <x:v>0</x:v>
      </x:c>
      <x:c r="J91" s="23" t="s">
        <x:v>72</x:v>
      </x:c>
      <x:c r="K91" s="23" t="s">
        <x:v>486</x:v>
      </x:c>
      <x:c r="L91" s="23" t="s">
        <x:v>80</x:v>
      </x:c>
      <x:c r="M91" s="23" t="str">
        <x:v>개별 연계 구현 필요</x:v>
      </x:c>
      <x:c r="N91" s="23" t="s">
        <x:v>487</x:v>
      </x:c>
      <x:c r="O91" s="23" t="s">
        <x:v>488</x:v>
      </x:c>
    </x:row>
    <x:row r="92" ht="58" customHeight="1">
      <x:c r="A92" s="25" t="s">
        <x:v>19</x:v>
      </x:c>
      <x:c r="B92" s="23">
        <x:v>1</x:v>
      </x:c>
      <x:c r="C92" s="23" t="s">
        <x:v>5</x:v>
      </x:c>
      <x:c r="D92" s="23" t="s">
        <x:v>489</x:v>
      </x:c>
      <x:c r="E92" s="23" t="s">
        <x:v>7</x:v>
      </x:c>
      <x:c r="F92" s="23" t="s">
        <x:v>352</x:v>
      </x:c>
      <x:c r="G92" s="24">
        <x:v>0</x:v>
      </x:c>
      <x:c r="H92" s="24">
        <x:v>1</x:v>
      </x:c>
      <x:c r="I92" s="24">
        <x:v>1</x:v>
      </x:c>
      <x:c r="J92" s="23" t="s">
        <x:v>46</x:v>
      </x:c>
      <x:c r="K92" s="23" t="s">
        <x:v>490</x:v>
      </x:c>
      <x:c r="L92" s="23" t="s">
        <x:v>491</x:v>
      </x:c>
      <x:c r="M92" s="23" t="str">
        <x:v>공통 확장 조합</x:v>
      </x:c>
      <x:c r="N92" s="23" t="s">
        <x:v>492</x:v>
      </x:c>
      <x:c r="O92" s="23" t="s">
        <x:v>493</x:v>
      </x:c>
    </x:row>
    <x:row r="93" ht="58" customHeight="1">
      <x:c r="A93" s="25" t="s">
        <x:v>19</x:v>
      </x:c>
      <x:c r="B93" s="23">
        <x:v>2</x:v>
      </x:c>
      <x:c r="C93" s="23" t="s">
        <x:v>5</x:v>
      </x:c>
      <x:c r="D93" s="23" t="s">
        <x:v>494</x:v>
      </x:c>
      <x:c r="E93" s="23" t="s">
        <x:v>8</x:v>
      </x:c>
      <x:c r="F93" s="23" t="s">
        <x:v>212</x:v>
      </x:c>
      <x:c r="G93" s="24">
        <x:v>1</x:v>
      </x:c>
      <x:c r="H93" s="24">
        <x:v>1</x:v>
      </x:c>
      <x:c r="I93" s="24">
        <x:v>0</x:v>
      </x:c>
      <x:c r="J93" s="23" t="s">
        <x:v>46</x:v>
      </x:c>
      <x:c r="K93" s="23" t="s">
        <x:v>495</x:v>
      </x:c>
      <x:c r="L93" s="23" t="s">
        <x:v>80</x:v>
      </x:c>
      <x:c r="M93" s="23" t="str">
        <x:v>공통 확장 조합</x:v>
      </x:c>
      <x:c r="N93" s="23" t="s">
        <x:v>492</x:v>
      </x:c>
      <x:c r="O93" s="23" t="s">
        <x:v>496</x:v>
      </x:c>
    </x:row>
    <x:row r="94" ht="58" customHeight="1">
      <x:c r="A94" s="25" t="s">
        <x:v>19</x:v>
      </x:c>
      <x:c r="B94" s="23">
        <x:v>3</x:v>
      </x:c>
      <x:c r="C94" s="23" t="s">
        <x:v>5</x:v>
      </x:c>
      <x:c r="D94" s="23" t="s">
        <x:v>497</x:v>
      </x:c>
      <x:c r="E94" s="23" t="s">
        <x:v>7</x:v>
      </x:c>
      <x:c r="F94" s="23" t="s">
        <x:v>207</x:v>
      </x:c>
      <x:c r="G94" s="24">
        <x:v>2</x:v>
      </x:c>
      <x:c r="H94" s="24">
        <x:v>2</x:v>
      </x:c>
      <x:c r="I94" s="24">
        <x:v>0</x:v>
      </x:c>
      <x:c r="J94" s="23" t="s">
        <x:v>106</x:v>
      </x:c>
      <x:c r="K94" s="23" t="s">
        <x:v>498</x:v>
      </x:c>
      <x:c r="L94" s="23" t="s">
        <x:v>80</x:v>
      </x:c>
      <x:c r="M94" s="23" t="str">
        <x:v>공통 확장 조합</x:v>
      </x:c>
      <x:c r="N94" s="23" t="s">
        <x:v>492</x:v>
      </x:c>
      <x:c r="O94" s="23" t="s">
        <x:v>499</x:v>
      </x:c>
    </x:row>
    <x:row r="95" ht="58" customHeight="1">
      <x:c r="A95" s="25" t="s">
        <x:v>19</x:v>
      </x:c>
      <x:c r="B95" s="23">
        <x:v>4</x:v>
      </x:c>
      <x:c r="C95" s="23" t="s">
        <x:v>5</x:v>
      </x:c>
      <x:c r="D95" s="23" t="s">
        <x:v>500</x:v>
      </x:c>
      <x:c r="E95" s="23" t="s">
        <x:v>8</x:v>
      </x:c>
      <x:c r="F95" s="23" t="s">
        <x:v>501</x:v>
      </x:c>
      <x:c r="G95" s="24">
        <x:v>2</x:v>
      </x:c>
      <x:c r="H95" s="24">
        <x:v>1</x:v>
      </x:c>
      <x:c r="I95" s="24">
        <x:v>0</x:v>
      </x:c>
      <x:c r="J95" s="23" t="s">
        <x:v>46</x:v>
      </x:c>
      <x:c r="K95" s="23" t="s">
        <x:v>502</x:v>
      </x:c>
      <x:c r="L95" s="23" t="s">
        <x:v>80</x:v>
      </x:c>
      <x:c r="M95" s="23" t="str">
        <x:v>개별 연계 구현 필요</x:v>
      </x:c>
      <x:c r="N95" s="23" t="s">
        <x:v>503</x:v>
      </x:c>
      <x:c r="O95" s="23" t="s">
        <x:v>504</x:v>
      </x:c>
    </x:row>
    <x:row r="96" ht="58" customHeight="1">
      <x:c r="A96" s="25" t="s">
        <x:v>19</x:v>
      </x:c>
      <x:c r="B96" s="23">
        <x:v>5</x:v>
      </x:c>
      <x:c r="C96" s="23" t="s">
        <x:v>5</x:v>
      </x:c>
      <x:c r="D96" s="23" t="s">
        <x:v>505</x:v>
      </x:c>
      <x:c r="E96" s="23" t="s">
        <x:v>7</x:v>
      </x:c>
      <x:c r="F96" s="23" t="s">
        <x:v>368</x:v>
      </x:c>
      <x:c r="G96" s="24">
        <x:v>1</x:v>
      </x:c>
      <x:c r="H96" s="24">
        <x:v>1</x:v>
      </x:c>
      <x:c r="I96" s="24">
        <x:v>0</x:v>
      </x:c>
      <x:c r="J96" s="23" t="s">
        <x:v>46</x:v>
      </x:c>
      <x:c r="K96" s="23" t="s">
        <x:v>506</x:v>
      </x:c>
      <x:c r="L96" s="23" t="s">
        <x:v>80</x:v>
      </x:c>
      <x:c r="M96" s="23" t="str">
        <x:v>개별 연계 구현 필요</x:v>
      </x:c>
      <x:c r="N96" s="23" t="s">
        <x:v>503</x:v>
      </x:c>
      <x:c r="O96" s="23" t="s">
        <x:v>507</x:v>
      </x:c>
    </x:row>
    <x:row r="97" ht="58" customHeight="1">
      <x:c r="A97" s="25" t="s">
        <x:v>19</x:v>
      </x:c>
      <x:c r="B97" s="23">
        <x:v>6</x:v>
      </x:c>
      <x:c r="C97" s="23" t="s">
        <x:v>5</x:v>
      </x:c>
      <x:c r="D97" s="23" t="s">
        <x:v>508</x:v>
      </x:c>
      <x:c r="E97" s="23" t="s">
        <x:v>9</x:v>
      </x:c>
      <x:c r="F97" s="23" t="s">
        <x:v>509</x:v>
      </x:c>
      <x:c r="G97" s="24">
        <x:v>4</x:v>
      </x:c>
      <x:c r="H97" s="24">
        <x:v>1</x:v>
      </x:c>
      <x:c r="I97" s="24">
        <x:v>0</x:v>
      </x:c>
      <x:c r="J97" s="23" t="s">
        <x:v>46</x:v>
      </x:c>
      <x:c r="K97" s="23" t="s">
        <x:v>510</x:v>
      </x:c>
      <x:c r="L97" s="23" t="s">
        <x:v>80</x:v>
      </x:c>
      <x:c r="M97" s="23" t="str">
        <x:v>개별 연계 구현 필요</x:v>
      </x:c>
      <x:c r="N97" s="23" t="s">
        <x:v>511</x:v>
      </x:c>
      <x:c r="O97" s="23" t="s">
        <x:v>512</x:v>
      </x:c>
    </x:row>
    <x:row r="98" ht="58" customHeight="1">
      <x:c r="A98" s="25" t="s">
        <x:v>19</x:v>
      </x:c>
      <x:c r="B98" s="23">
        <x:v>7</x:v>
      </x:c>
      <x:c r="C98" s="23" t="s">
        <x:v>5</x:v>
      </x:c>
      <x:c r="D98" s="23" t="s">
        <x:v>513</x:v>
      </x:c>
      <x:c r="E98" s="23" t="s">
        <x:v>8</x:v>
      </x:c>
      <x:c r="F98" s="23" t="s">
        <x:v>514</x:v>
      </x:c>
      <x:c r="G98" s="24">
        <x:v>2</x:v>
      </x:c>
      <x:c r="H98" s="24">
        <x:v>1</x:v>
      </x:c>
      <x:c r="I98" s="24">
        <x:v>1</x:v>
      </x:c>
      <x:c r="J98" s="23" t="s">
        <x:v>46</x:v>
      </x:c>
      <x:c r="K98" s="23" t="s">
        <x:v>515</x:v>
      </x:c>
      <x:c r="L98" s="23" t="s">
        <x:v>491</x:v>
      </x:c>
      <x:c r="M98" s="23" t="str">
        <x:v>개별 연계 구현 필요</x:v>
      </x:c>
      <x:c r="N98" s="23" t="s">
        <x:v>511</x:v>
      </x:c>
      <x:c r="O98" s="23" t="s">
        <x:v>516</x:v>
      </x:c>
    </x:row>
    <x:row r="99" ht="58" customHeight="1">
      <x:c r="A99" s="25" t="s">
        <x:v>19</x:v>
      </x:c>
      <x:c r="B99" s="23">
        <x:v>8</x:v>
      </x:c>
      <x:c r="C99" s="23" t="s">
        <x:v>5</x:v>
      </x:c>
      <x:c r="D99" s="23" t="s">
        <x:v>517</x:v>
      </x:c>
      <x:c r="E99" s="23" t="s">
        <x:v>8</x:v>
      </x:c>
      <x:c r="F99" s="23" t="s">
        <x:v>518</x:v>
      </x:c>
      <x:c r="G99" s="24">
        <x:v>2</x:v>
      </x:c>
      <x:c r="H99" s="24">
        <x:v>1</x:v>
      </x:c>
      <x:c r="I99" s="24">
        <x:v>0</x:v>
      </x:c>
      <x:c r="J99" s="23" t="s">
        <x:v>46</x:v>
      </x:c>
      <x:c r="K99" s="23" t="s">
        <x:v>519</x:v>
      </x:c>
      <x:c r="L99" s="23" t="s">
        <x:v>80</x:v>
      </x:c>
      <x:c r="M99" s="23" t="str">
        <x:v>개별 연계 구현 필요</x:v>
      </x:c>
      <x:c r="N99" s="23" t="s">
        <x:v>520</x:v>
      </x:c>
      <x:c r="O99" s="23" t="s">
        <x:v>521</x:v>
      </x:c>
    </x:row>
    <x:row r="100" ht="58" customHeight="1">
      <x:c r="A100" s="25" t="s">
        <x:v>19</x:v>
      </x:c>
      <x:c r="B100" s="23">
        <x:v>9</x:v>
      </x:c>
      <x:c r="C100" s="23" t="s">
        <x:v>5</x:v>
      </x:c>
      <x:c r="D100" s="23" t="s">
        <x:v>522</x:v>
      </x:c>
      <x:c r="E100" s="23" t="s">
        <x:v>10</x:v>
      </x:c>
      <x:c r="F100" s="23" t="s">
        <x:v>523</x:v>
      </x:c>
      <x:c r="G100" s="24">
        <x:v>4</x:v>
      </x:c>
      <x:c r="H100" s="24">
        <x:v>1</x:v>
      </x:c>
      <x:c r="I100" s="24">
        <x:v>0</x:v>
      </x:c>
      <x:c r="J100" s="23" t="s">
        <x:v>46</x:v>
      </x:c>
      <x:c r="K100" s="23" t="s">
        <x:v>524</x:v>
      </x:c>
      <x:c r="L100" s="23" t="s">
        <x:v>80</x:v>
      </x:c>
      <x:c r="M100" s="23" t="str">
        <x:v>개별 연계 구현 필요</x:v>
      </x:c>
      <x:c r="N100" s="23" t="s">
        <x:v>503</x:v>
      </x:c>
      <x:c r="O100" s="23" t="s">
        <x:v>525</x:v>
      </x:c>
    </x:row>
    <x:row r="101" ht="58" customHeight="1">
      <x:c r="A101" s="25" t="s">
        <x:v>19</x:v>
      </x:c>
      <x:c r="B101" s="23">
        <x:v>10</x:v>
      </x:c>
      <x:c r="C101" s="23" t="s">
        <x:v>5</x:v>
      </x:c>
      <x:c r="D101" s="23" t="s">
        <x:v>526</x:v>
      </x:c>
      <x:c r="E101" s="23" t="s">
        <x:v>11</x:v>
      </x:c>
      <x:c r="F101" s="23" t="s">
        <x:v>527</x:v>
      </x:c>
      <x:c r="G101" s="24">
        <x:v>4</x:v>
      </x:c>
      <x:c r="H101" s="24">
        <x:v>1</x:v>
      </x:c>
      <x:c r="I101" s="24">
        <x:v>0</x:v>
      </x:c>
      <x:c r="J101" s="23" t="s">
        <x:v>46</x:v>
      </x:c>
      <x:c r="K101" s="23" t="s">
        <x:v>528</x:v>
      </x:c>
      <x:c r="L101" s="23" t="s">
        <x:v>80</x:v>
      </x:c>
      <x:c r="M101" s="23" t="str">
        <x:v>개별 연계 구현 필요</x:v>
      </x:c>
      <x:c r="N101" s="23" t="s">
        <x:v>529</x:v>
      </x:c>
      <x:c r="O101" s="23" t="s">
        <x:v>530</x:v>
      </x:c>
    </x:row>
    <x:row r="102" ht="58" customHeight="1">
      <x:c r="A102" s="25" t="s">
        <x:v>19</x:v>
      </x:c>
      <x:c r="B102" s="23">
        <x:v>11</x:v>
      </x:c>
      <x:c r="C102" s="23" t="s">
        <x:v>98</x:v>
      </x:c>
      <x:c r="D102" s="23" t="s">
        <x:v>531</x:v>
      </x:c>
      <x:c r="E102" s="23" t="s">
        <x:v>9</x:v>
      </x:c>
      <x:c r="F102" s="23" t="s">
        <x:v>532</x:v>
      </x:c>
      <x:c r="G102" s="24">
        <x:v>2</x:v>
      </x:c>
      <x:c r="H102" s="24">
        <x:v>1</x:v>
      </x:c>
      <x:c r="I102" s="24">
        <x:v>1</x:v>
      </x:c>
      <x:c r="J102" s="23" t="s">
        <x:v>46</x:v>
      </x:c>
      <x:c r="K102" s="23" t="s">
        <x:v>533</x:v>
      </x:c>
      <x:c r="L102" s="23" t="s">
        <x:v>534</x:v>
      </x:c>
      <x:c r="M102" s="23" t="str">
        <x:v>개별 연계 구현 필요</x:v>
      </x:c>
      <x:c r="N102" s="23" t="s">
        <x:v>535</x:v>
      </x:c>
      <x:c r="O102" s="23" t="s">
        <x:v>536</x:v>
      </x:c>
    </x:row>
    <x:row r="103" ht="58" customHeight="1">
      <x:c r="A103" s="25" t="s">
        <x:v>19</x:v>
      </x:c>
      <x:c r="B103" s="23">
        <x:v>12</x:v>
      </x:c>
      <x:c r="C103" s="23" t="s">
        <x:v>98</x:v>
      </x:c>
      <x:c r="D103" s="23" t="s">
        <x:v>537</x:v>
      </x:c>
      <x:c r="E103" s="23" t="s">
        <x:v>9</x:v>
      </x:c>
      <x:c r="F103" s="23" t="s">
        <x:v>538</x:v>
      </x:c>
      <x:c r="G103" s="24">
        <x:v>3</x:v>
      </x:c>
      <x:c r="H103" s="24">
        <x:v>1</x:v>
      </x:c>
      <x:c r="I103" s="24">
        <x:v>0</x:v>
      </x:c>
      <x:c r="J103" s="23" t="s">
        <x:v>46</x:v>
      </x:c>
      <x:c r="K103" s="23" t="s">
        <x:v>539</x:v>
      </x:c>
      <x:c r="L103" s="23" t="s">
        <x:v>80</x:v>
      </x:c>
      <x:c r="M103" s="23" t="str">
        <x:v>개별 연계 구현 필요</x:v>
      </x:c>
      <x:c r="N103" s="23" t="s">
        <x:v>540</x:v>
      </x:c>
      <x:c r="O103" s="23" t="s">
        <x:v>541</x:v>
      </x:c>
    </x:row>
    <x:row r="104" ht="58" customHeight="1">
      <x:c r="A104" s="25" t="s">
        <x:v>19</x:v>
      </x:c>
      <x:c r="B104" s="23">
        <x:v>13</x:v>
      </x:c>
      <x:c r="C104" s="23" t="s">
        <x:v>98</x:v>
      </x:c>
      <x:c r="D104" s="23" t="s">
        <x:v>542</x:v>
      </x:c>
      <x:c r="E104" s="23" t="s">
        <x:v>9</x:v>
      </x:c>
      <x:c r="F104" s="23" t="s">
        <x:v>543</x:v>
      </x:c>
      <x:c r="G104" s="24">
        <x:v>3</x:v>
      </x:c>
      <x:c r="H104" s="24">
        <x:v>1</x:v>
      </x:c>
      <x:c r="I104" s="24">
        <x:v>0</x:v>
      </x:c>
      <x:c r="J104" s="23" t="s">
        <x:v>72</x:v>
      </x:c>
      <x:c r="K104" s="23" t="s">
        <x:v>544</x:v>
      </x:c>
      <x:c r="L104" s="23" t="s">
        <x:v>274</x:v>
      </x:c>
      <x:c r="M104" s="23" t="str">
        <x:v>개별 연계 구현 필요</x:v>
      </x:c>
      <x:c r="N104" s="23" t="s">
        <x:v>545</x:v>
      </x:c>
      <x:c r="O104" s="23" t="s">
        <x:v>546</x:v>
      </x:c>
    </x:row>
    <x:row r="105" ht="58" customHeight="1">
      <x:c r="A105" s="25" t="s">
        <x:v>19</x:v>
      </x:c>
      <x:c r="B105" s="23">
        <x:v>14</x:v>
      </x:c>
      <x:c r="C105" s="23" t="s">
        <x:v>98</x:v>
      </x:c>
      <x:c r="D105" s="23" t="s">
        <x:v>547</x:v>
      </x:c>
      <x:c r="E105" s="23" t="s">
        <x:v>12</x:v>
      </x:c>
      <x:c r="F105" s="23" t="s">
        <x:v>548</x:v>
      </x:c>
      <x:c r="G105" s="24">
        <x:v>3</x:v>
      </x:c>
      <x:c r="H105" s="24">
        <x:v>1</x:v>
      </x:c>
      <x:c r="I105" s="24">
        <x:v>0</x:v>
      </x:c>
      <x:c r="J105" s="23" t="s">
        <x:v>46</x:v>
      </x:c>
      <x:c r="K105" s="23" t="s">
        <x:v>549</x:v>
      </x:c>
      <x:c r="L105" s="23" t="s">
        <x:v>80</x:v>
      </x:c>
      <x:c r="M105" s="23" t="str">
        <x:v>개별 연계 구현 필요</x:v>
      </x:c>
      <x:c r="N105" s="23" t="s">
        <x:v>550</x:v>
      </x:c>
      <x:c r="O105" s="23" t="s">
        <x:v>551</x:v>
      </x:c>
    </x:row>
    <x:row r="106" ht="58" customHeight="1">
      <x:c r="A106" s="25" t="s">
        <x:v>19</x:v>
      </x:c>
      <x:c r="B106" s="23">
        <x:v>15</x:v>
      </x:c>
      <x:c r="C106" s="23" t="s">
        <x:v>98</x:v>
      </x:c>
      <x:c r="D106" s="23" t="s">
        <x:v>552</x:v>
      </x:c>
      <x:c r="E106" s="23" t="s">
        <x:v>10</x:v>
      </x:c>
      <x:c r="F106" s="23" t="s">
        <x:v>553</x:v>
      </x:c>
      <x:c r="G106" s="24">
        <x:v>5</x:v>
      </x:c>
      <x:c r="H106" s="24">
        <x:v>2</x:v>
      </x:c>
      <x:c r="I106" s="24">
        <x:v>0</x:v>
      </x:c>
      <x:c r="J106" s="23" t="s">
        <x:v>106</x:v>
      </x:c>
      <x:c r="K106" s="23" t="s">
        <x:v>554</x:v>
      </x:c>
      <x:c r="L106" s="23" t="s">
        <x:v>80</x:v>
      </x:c>
      <x:c r="M106" s="23" t="str">
        <x:v>개별 연계 구현 필요</x:v>
      </x:c>
      <x:c r="N106" s="23" t="s">
        <x:v>511</x:v>
      </x:c>
      <x:c r="O106" s="23" t="s">
        <x:v>555</x:v>
      </x:c>
    </x:row>
  </x:sheetData>
  <x:conditionalFormatting sqref="E2:E106">
    <x:cfRule type="containsText" dxfId="0" priority="6" operator="containsText"/>
    <x:cfRule type="containsText" dxfId="0" priority="5" operator="containsText"/>
    <x:cfRule type="containsText" dxfId="0" priority="4" operator="containsText"/>
    <x:cfRule type="containsText" dxfId="0" priority="3" operator="containsText"/>
    <x:cfRule type="containsText" dxfId="0" priority="2" operator="containsText"/>
    <x:cfRule type="containsText" dxfId="0" priority="1" operator="containsText"/>
  </x:conditionalFormatting>
  <x:conditionalFormatting sqref="C2:C106">
    <x:cfRule type="containsText" dxfId="0" priority="7" operator="containsText"/>
  </x:conditionalFormatting>
  <x:pageMargins left="0.7" right="0.7" top="0.75" bottom="0.75" header="0.3" footer="0.3"/>
  <x:tableParts count="1">
    <x:tablePart xmlns:r="http://schemas.openxmlformats.org/officeDocument/2006/relationships" r:id="R7ec45595ce6b44c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ColWidth="9.00390625" defaultRowHeight="13.550000190734863"/>
  <x:cols>
    <x:col min="1" max="1" width="32" customWidth="1"/>
    <x:col min="2" max="2" width="20" customWidth="1"/>
    <x:col min="3" max="4" width="10" customWidth="1"/>
    <x:col min="5" max="5" width="43" customWidth="1"/>
    <x:col min="6" max="6" width="76" customWidth="1"/>
    <x:col min="7" max="7" width="84" customWidth="1"/>
    <x:col min="8" max="8" width="14" customWidth="1"/>
    <x:col min="9" max="9" width="12" customWidth="1"/>
    <x:col min="10" max="10" width="15" customWidth="1"/>
    <x:col min="11" max="11" width="12" customWidth="1"/>
    <x:col min="12" max="12" width="15" customWidth="1"/>
    <x:col min="13" max="13" width="32" customWidth="1"/>
    <x:col min="14" max="14" width="15" customWidth="1"/>
    <x:col min="15" max="15" width="14" customWidth="1"/>
    <x:col min="16" max="16" width="35" customWidth="1"/>
    <x:col min="17" max="17" width="16" customWidth="1"/>
    <x:col min="18" max="18" width="10" customWidth="1"/>
    <x:col min="19" max="19" width="12" customWidth="1"/>
    <x:col min="20" max="20" width="18" customWidth="1"/>
    <x:col min="21" max="21" width="13" customWidth="1"/>
    <x:col min="22" max="22" width="22" customWidth="1"/>
    <x:col min="23" max="23" width="24" customWidth="1"/>
    <x:col min="24" max="24" width="43" customWidth="1"/>
    <x:col min="25" max="25" width="15" customWidth="1"/>
  </x:cols>
  <x:sheetData>
    <x:row r="1" ht="32" customHeight="1">
      <x:c r="A1" s="5" t="s">
        <x:v>43</x:v>
      </x:c>
      <x:c r="B1" s="6" t="s">
        <x:v>556</x:v>
      </x:c>
      <x:c r="C1" s="6" t="s">
        <x:v>557</x:v>
      </x:c>
      <x:c r="D1" s="6" t="s">
        <x:v>558</x:v>
      </x:c>
      <x:c r="E1" s="6" t="s">
        <x:v>559</x:v>
      </x:c>
      <x:c r="F1" s="6" t="s">
        <x:v>560</x:v>
      </x:c>
      <x:c r="G1" s="6" t="s">
        <x:v>561</x:v>
      </x:c>
      <x:c r="H1" s="6" t="s">
        <x:v>562</x:v>
      </x:c>
      <x:c r="I1" s="6" t="s">
        <x:v>563</x:v>
      </x:c>
      <x:c r="J1" s="6" t="s">
        <x:v>564</x:v>
      </x:c>
      <x:c r="K1" s="6" t="s">
        <x:v>565</x:v>
      </x:c>
      <x:c r="L1" s="6" t="s">
        <x:v>566</x:v>
      </x:c>
      <x:c r="M1" s="6" t="s">
        <x:v>567</x:v>
      </x:c>
      <x:c r="N1" s="6" t="s">
        <x:v>568</x:v>
      </x:c>
      <x:c r="O1" s="6" t="s">
        <x:v>569</x:v>
      </x:c>
      <x:c r="P1" s="6" t="s">
        <x:v>570</x:v>
      </x:c>
      <x:c r="Q1" s="6" t="s">
        <x:v>571</x:v>
      </x:c>
      <x:c r="R1" s="6" t="s">
        <x:v>572</x:v>
      </x:c>
      <x:c r="S1" s="6" t="s">
        <x:v>573</x:v>
      </x:c>
      <x:c r="T1" s="6" t="s">
        <x:v>574</x:v>
      </x:c>
      <x:c r="U1" s="6" t="s">
        <x:v>575</x:v>
      </x:c>
      <x:c r="V1" s="6" t="s">
        <x:v>576</x:v>
      </x:c>
      <x:c r="W1" s="6" t="s">
        <x:v>577</x:v>
      </x:c>
      <x:c r="X1" s="6" t="s">
        <x:v>578</x:v>
      </x:c>
      <x:c r="Y1" s="7" t="s">
        <x:v>579</x:v>
      </x:c>
    </x:row>
    <x:row r="2" ht="72" customHeight="1">
      <x:c r="A2" s="8" t="s">
        <x:v>48</x:v>
      </x:c>
      <x:c r="B2" s="8" t="s">
        <x:v>44</x:v>
      </x:c>
      <x:c r="C2" s="17">
        <x:v>2</x:v>
      </x:c>
      <x:c r="D2" s="17" t="n">
        <x:v>1</x:v>
      </x:c>
      <x:c r="E2" s="8" t="s">
        <x:v>580</x:v>
      </x:c>
      <x:c r="F2" s="8" t="str">
        <x:v>적 하나를 2회 공격한다. 각 타격 피해는 공격력의 50%+2. 쿨타임 1턴·행동력 0으로 타격 연계를 시작한다.</x:v>
      </x:c>
      <x:c r="G2" s="8" t="str">
        <x:v>{"targetMode":"singleEnemy","damageFormula":"attack*0.5+2+1*n","hitCount":2}</x:v>
      </x:c>
      <x:c r="H2" s="17">
        <x:v>1</x:v>
      </x:c>
      <x:c r="I2" s="8" t="s">
        <x:v>581</x:v>
      </x:c>
      <x:c r="J2" s="8" t="s">
        <x:v>582</x:v>
      </x:c>
      <x:c r="K2" s="17">
        <x:v>0</x:v>
      </x:c>
      <x:c r="L2" s="17">
        <x:v>0</x:v>
      </x:c>
      <x:c r="M2" s="8" t="s">
        <x:v>580</x:v>
      </x:c>
      <x:c r="N2" s="17" t="n">
        <x:v>0</x:v>
      </x:c>
      <x:c r="O2" s="8" t="s">
        <x:v>583</x:v>
      </x:c>
      <x:c r="P2" s="8" t="s">
        <x:v>584</x:v>
      </x:c>
      <x:c r="Q2" s="8" t="s">
        <x:v>585</x:v>
      </x:c>
      <x:c r="R2" s="8" t="s">
        <x:v>13</x:v>
      </x:c>
      <x:c r="S2" s="8" t="s">
        <x:v>7</x:v>
      </x:c>
      <x:c r="T2" s="8" t="s">
        <x:v>45</x:v>
      </x:c>
      <x:c r="U2" s="8" t="s">
        <x:v>5</x:v>
      </x:c>
      <x:c r="V2" s="8" t="s">
        <x:v>24</x:v>
      </x:c>
      <x:c r="W2" s="8"/>
      <x:c r="X2" s="8" t="s">
        <x:v>47</x:v>
      </x:c>
      <x:c r="Y2" s="17">
        <x:v>1</x:v>
      </x:c>
    </x:row>
    <x:row r="3" ht="72" customHeight="1">
      <x:c r="A3" s="8" t="s">
        <x:v>53</x:v>
      </x:c>
      <x:c r="B3" s="8" t="s">
        <x:v>49</x:v>
      </x:c>
      <x:c r="C3" s="17">
        <x:v>2</x:v>
      </x:c>
      <x:c r="D3" s="17" t="n">
        <x:v>1</x:v>
      </x:c>
      <x:c r="E3" s="8" t="s">
        <x:v>580</x:v>
      </x:c>
      <x:c r="F3" s="8" t="str">
        <x:v>적 하나를 2회 공격한다. 이번 턴 다른 타격 스킬을 먼저 사용했다면 3회 공격한다. 각 타격은 공격력의 45%+2.</x:v>
      </x:c>
      <x:c r="G3" s="8"/>
      <x:c r="H3" s="17">
        <x:v>0</x:v>
      </x:c>
      <x:c r="I3" s="8" t="s">
        <x:v>581</x:v>
      </x:c>
      <x:c r="J3" s="8" t="s">
        <x:v>582</x:v>
      </x:c>
      <x:c r="K3" s="17">
        <x:v>0</x:v>
      </x:c>
      <x:c r="L3" s="17">
        <x:v>0</x:v>
      </x:c>
      <x:c r="M3" s="8" t="s">
        <x:v>580</x:v>
      </x:c>
      <x:c r="N3" s="17">
        <x:v>1</x:v>
      </x:c>
      <x:c r="O3" s="8" t="s">
        <x:v>583</x:v>
      </x:c>
      <x:c r="P3" s="8" t="s">
        <x:v>586</x:v>
      </x:c>
      <x:c r="Q3" s="8" t="s">
        <x:v>585</x:v>
      </x:c>
      <x:c r="R3" s="8" t="s">
        <x:v>13</x:v>
      </x:c>
      <x:c r="S3" s="8" t="s">
        <x:v>7</x:v>
      </x:c>
      <x:c r="T3" s="8" t="s">
        <x:v>50</x:v>
      </x:c>
      <x:c r="U3" s="8" t="s">
        <x:v>5</x:v>
      </x:c>
      <x:c r="V3" s="8" t="str">
        <x:v>개별 연계 구현 필요</x:v>
      </x:c>
      <x:c r="W3" s="8" t="s">
        <x:v>52</x:v>
      </x:c>
      <x:c r="X3" s="8" t="s">
        <x:v>47</x:v>
      </x:c>
      <x:c r="Y3" s="17">
        <x:v>1</x:v>
      </x:c>
    </x:row>
    <x:row r="4" ht="72" customHeight="1">
      <x:c r="A4" s="8" t="s">
        <x:v>58</x:v>
      </x:c>
      <x:c r="B4" s="8" t="s">
        <x:v>54</x:v>
      </x:c>
      <x:c r="C4" s="17">
        <x:v>2</x:v>
      </x:c>
      <x:c r="D4" s="17">
        <x:v>1</x:v>
      </x:c>
      <x:c r="E4" s="8" t="s">
        <x:v>580</x:v>
      </x:c>
      <x:c r="F4" s="8" t="str">
        <x:v>기본 2회 공격한다. 이번 턴 앞서 사용한 타격 스킬 1개당 타수 +1, 최대 5회. 각 타격은 공격력의 33%+1.</x:v>
      </x:c>
      <x:c r="G4" s="8"/>
      <x:c r="H4" s="17">
        <x:v>0</x:v>
      </x:c>
      <x:c r="I4" s="8" t="s">
        <x:v>581</x:v>
      </x:c>
      <x:c r="J4" s="8" t="s">
        <x:v>582</x:v>
      </x:c>
      <x:c r="K4" s="17">
        <x:v>0</x:v>
      </x:c>
      <x:c r="L4" s="17">
        <x:v>0</x:v>
      </x:c>
      <x:c r="M4" s="8" t="s">
        <x:v>580</x:v>
      </x:c>
      <x:c r="N4" s="17">
        <x:v>1</x:v>
      </x:c>
      <x:c r="O4" s="8" t="s">
        <x:v>587</x:v>
      </x:c>
      <x:c r="P4" s="8" t="s">
        <x:v>588</x:v>
      </x:c>
      <x:c r="Q4" s="8" t="s">
        <x:v>585</x:v>
      </x:c>
      <x:c r="R4" s="8" t="s">
        <x:v>13</x:v>
      </x:c>
      <x:c r="S4" s="8" t="s">
        <x:v>8</x:v>
      </x:c>
      <x:c r="T4" s="8" t="s">
        <x:v>55</x:v>
      </x:c>
      <x:c r="U4" s="8" t="s">
        <x:v>5</x:v>
      </x:c>
      <x:c r="V4" s="8" t="str">
        <x:v>개별 연계 구현 필요</x:v>
      </x:c>
      <x:c r="W4" s="8" t="s">
        <x:v>52</x:v>
      </x:c>
      <x:c r="X4" s="8" t="s">
        <x:v>57</x:v>
      </x:c>
      <x:c r="Y4" s="17">
        <x:v>1</x:v>
      </x:c>
    </x:row>
    <x:row r="5" ht="72" customHeight="1">
      <x:c r="A5" s="8" t="s">
        <x:v>64</x:v>
      </x:c>
      <x:c r="B5" s="8" t="s">
        <x:v>59</x:v>
      </x:c>
      <x:c r="C5" s="17">
        <x:v>3</x:v>
      </x:c>
      <x:c r="D5" s="17">
        <x:v>1</x:v>
      </x:c>
      <x:c r="E5" s="8" t="s">
        <x:v>580</x:v>
      </x:c>
      <x:c r="F5" s="8" t="str">
        <x:v>적 하나를 3회 공격한다. 각 타격은 공격력의 45%+2이며, 방어막에만 5의 추가 피해를 준다. 추가분은 체력으로 넘치지 않는다.</x:v>
      </x:c>
      <x:c r="G5" s="8"/>
      <x:c r="H5" s="17">
        <x:v>0</x:v>
      </x:c>
      <x:c r="I5" s="8" t="s">
        <x:v>581</x:v>
      </x:c>
      <x:c r="J5" s="8" t="s">
        <x:v>582</x:v>
      </x:c>
      <x:c r="K5" s="17">
        <x:v>0</x:v>
      </x:c>
      <x:c r="L5" s="17">
        <x:v>0</x:v>
      </x:c>
      <x:c r="M5" s="8" t="s">
        <x:v>580</x:v>
      </x:c>
      <x:c r="N5" s="17">
        <x:v>1</x:v>
      </x:c>
      <x:c r="O5" s="8" t="s">
        <x:v>587</x:v>
      </x:c>
      <x:c r="P5" s="8" t="s">
        <x:v>589</x:v>
      </x:c>
      <x:c r="Q5" s="8" t="s">
        <x:v>585</x:v>
      </x:c>
      <x:c r="R5" s="8" t="s">
        <x:v>13</x:v>
      </x:c>
      <x:c r="S5" s="8" t="s">
        <x:v>8</x:v>
      </x:c>
      <x:c r="T5" s="8" t="s">
        <x:v>60</x:v>
      </x:c>
      <x:c r="U5" s="8" t="s">
        <x:v>5</x:v>
      </x:c>
      <x:c r="V5" s="8" t="str">
        <x:v>개별 연계 구현 필요</x:v>
      </x:c>
      <x:c r="W5" s="8" t="s">
        <x:v>63</x:v>
      </x:c>
      <x:c r="X5" s="8" t="s">
        <x:v>62</x:v>
      </x:c>
      <x:c r="Y5" s="17">
        <x:v>1</x:v>
      </x:c>
    </x:row>
    <x:row r="6" ht="72" customHeight="1">
      <x:c r="A6" s="8" t="s">
        <x:v>69</x:v>
      </x:c>
      <x:c r="B6" s="8" t="s">
        <x:v>65</x:v>
      </x:c>
      <x:c r="C6" s="17">
        <x:v>5</x:v>
      </x:c>
      <x:c r="D6" s="17">
        <x:v>2</x:v>
      </x:c>
      <x:c r="E6" s="8" t="s">
        <x:v>580</x:v>
      </x:c>
      <x:c r="F6" s="8" t="s">
        <x:v>68</x:v>
      </x:c>
      <x:c r="G6" s="8" t="str">
        <x:v>{"targetMode":"randomEnemies","hitCount":5,"damageFormula":"attack*0.3+2+1*n"}</x:v>
      </x:c>
      <x:c r="H6" s="17">
        <x:v>1</x:v>
      </x:c>
      <x:c r="I6" s="8" t="s">
        <x:v>581</x:v>
      </x:c>
      <x:c r="J6" s="8" t="s">
        <x:v>590</x:v>
      </x:c>
      <x:c r="K6" s="17">
        <x:v>0</x:v>
      </x:c>
      <x:c r="L6" s="17">
        <x:v>0</x:v>
      </x:c>
      <x:c r="M6" s="8" t="s">
        <x:v>580</x:v>
      </x:c>
      <x:c r="N6" s="17">
        <x:v>2</x:v>
      </x:c>
      <x:c r="O6" s="8" t="s">
        <x:v>591</x:v>
      </x:c>
      <x:c r="P6" s="8" t="s">
        <x:v>592</x:v>
      </x:c>
      <x:c r="Q6" s="8" t="s">
        <x:v>585</x:v>
      </x:c>
      <x:c r="R6" s="8" t="s">
        <x:v>13</x:v>
      </x:c>
      <x:c r="S6" s="8" t="s">
        <x:v>9</x:v>
      </x:c>
      <x:c r="T6" s="8" t="s">
        <x:v>66</x:v>
      </x:c>
      <x:c r="U6" s="8" t="s">
        <x:v>5</x:v>
      </x:c>
      <x:c r="V6" s="8" t="s">
        <x:v>24</x:v>
      </x:c>
      <x:c r="W6" s="8"/>
      <x:c r="X6" s="8" t="s">
        <x:v>47</x:v>
      </x:c>
      <x:c r="Y6" s="17">
        <x:v>1</x:v>
      </x:c>
    </x:row>
    <x:row r="7" ht="72" customHeight="1">
      <x:c r="A7" s="8" t="s">
        <x:v>76</x:v>
      </x:c>
      <x:c r="B7" s="8" t="s">
        <x:v>70</x:v>
      </x:c>
      <x:c r="C7" s="17">
        <x:v>1</x:v>
      </x:c>
      <x:c r="D7" s="17">
        <x:v>1</x:v>
      </x:c>
      <x:c r="E7" s="8" t="s">
        <x:v>580</x:v>
      </x:c>
      <x:c r="F7" s="8" t="s">
        <x:v>73</x:v>
      </x:c>
      <x:c r="G7" s="8"/>
      <x:c r="H7" s="17">
        <x:v>0</x:v>
      </x:c>
      <x:c r="I7" s="8" t="s">
        <x:v>593</x:v>
      </x:c>
      <x:c r="J7" s="8" t="s">
        <x:v>594</x:v>
      </x:c>
      <x:c r="K7" s="17">
        <x:v>0</x:v>
      </x:c>
      <x:c r="L7" s="17">
        <x:v>0</x:v>
      </x:c>
      <x:c r="M7" s="8" t="s">
        <x:v>580</x:v>
      </x:c>
      <x:c r="N7" s="17">
        <x:v>1</x:v>
      </x:c>
      <x:c r="O7" s="8" t="s">
        <x:v>583</x:v>
      </x:c>
      <x:c r="P7" s="8" t="s">
        <x:v>595</x:v>
      </x:c>
      <x:c r="Q7" s="8" t="s">
        <x:v>585</x:v>
      </x:c>
      <x:c r="R7" s="8" t="s">
        <x:v>13</x:v>
      </x:c>
      <x:c r="S7" s="8" t="s">
        <x:v>7</x:v>
      </x:c>
      <x:c r="T7" s="8" t="s">
        <x:v>71</x:v>
      </x:c>
      <x:c r="U7" s="8" t="s">
        <x:v>5</x:v>
      </x:c>
      <x:c r="V7" s="8" t="str">
        <x:v>개별 연계 구현 필요</x:v>
      </x:c>
      <x:c r="W7" s="8" t="s">
        <x:v>75</x:v>
      </x:c>
      <x:c r="X7" s="8" t="s">
        <x:v>74</x:v>
      </x:c>
      <x:c r="Y7" s="17">
        <x:v>1</x:v>
      </x:c>
    </x:row>
    <x:row r="8" ht="72" customHeight="1">
      <x:c r="A8" s="8" t="s">
        <x:v>82</x:v>
      </x:c>
      <x:c r="B8" s="8" t="s">
        <x:v>77</x:v>
      </x:c>
      <x:c r="C8" s="17">
        <x:v>1</x:v>
      </x:c>
      <x:c r="D8" s="17">
        <x:v>1</x:v>
      </x:c>
      <x:c r="E8" s="8" t="s">
        <x:v>596</x:v>
      </x:c>
      <x:c r="F8" s="8" t="s">
        <x:v>79</x:v>
      </x:c>
      <x:c r="G8" s="8"/>
      <x:c r="H8" s="17">
        <x:v>0</x:v>
      </x:c>
      <x:c r="I8" s="8" t="s">
        <x:v>597</x:v>
      </x:c>
      <x:c r="J8" s="8" t="s">
        <x:v>594</x:v>
      </x:c>
      <x:c r="K8" s="17">
        <x:v>0</x:v>
      </x:c>
      <x:c r="L8" s="17">
        <x:v>0</x:v>
      </x:c>
      <x:c r="M8" s="8" t="s">
        <x:v>596</x:v>
      </x:c>
      <x:c r="N8" s="17">
        <x:v>0</x:v>
      </x:c>
      <x:c r="O8" s="8" t="s">
        <x:v>591</x:v>
      </x:c>
      <x:c r="P8" s="8" t="s">
        <x:v>598</x:v>
      </x:c>
      <x:c r="Q8" s="8" t="s">
        <x:v>585</x:v>
      </x:c>
      <x:c r="R8" s="8" t="s">
        <x:v>13</x:v>
      </x:c>
      <x:c r="S8" s="8" t="s">
        <x:v>9</x:v>
      </x:c>
      <x:c r="T8" s="8" t="s">
        <x:v>78</x:v>
      </x:c>
      <x:c r="U8" s="8" t="s">
        <x:v>5</x:v>
      </x:c>
      <x:c r="V8" s="8" t="str">
        <x:v>개별 연계 구현 필요</x:v>
      </x:c>
      <x:c r="W8" s="8" t="s">
        <x:v>599</x:v>
      </x:c>
      <x:c r="X8" s="8" t="s">
        <x:v>80</x:v>
      </x:c>
      <x:c r="Y8" s="17">
        <x:v>1</x:v>
      </x:c>
    </x:row>
    <x:row r="9" ht="72" customHeight="1">
      <x:c r="A9" s="8" t="s">
        <x:v>88</x:v>
      </x:c>
      <x:c r="B9" s="8" t="s">
        <x:v>83</x:v>
      </x:c>
      <x:c r="C9" s="17">
        <x:v>1</x:v>
      </x:c>
      <x:c r="D9" s="17">
        <x:v>2</x:v>
      </x:c>
      <x:c r="E9" s="8" t="s">
        <x:v>580</x:v>
      </x:c>
      <x:c r="F9" s="8" t="str">
        <x:v>적 하나에게 공격력의 80%+2 피해를 준다. 자신을 제외한 쿨타임 중인 타격 스킬 하나를 선택해 남은 쿨타임을 1턴 줄인다.</x:v>
      </x:c>
      <x:c r="G9" s="8"/>
      <x:c r="H9" s="17">
        <x:v>0</x:v>
      </x:c>
      <x:c r="I9" s="8" t="s">
        <x:v>581</x:v>
      </x:c>
      <x:c r="J9" s="8" t="s">
        <x:v>582</x:v>
      </x:c>
      <x:c r="K9" s="17">
        <x:v>0</x:v>
      </x:c>
      <x:c r="L9" s="17">
        <x:v>0</x:v>
      </x:c>
      <x:c r="M9" s="8" t="s">
        <x:v>580</x:v>
      </x:c>
      <x:c r="N9" s="17">
        <x:v>1</x:v>
      </x:c>
      <x:c r="O9" s="8" t="s">
        <x:v>587</x:v>
      </x:c>
      <x:c r="P9" s="8" t="s">
        <x:v>600</x:v>
      </x:c>
      <x:c r="Q9" s="8" t="s">
        <x:v>585</x:v>
      </x:c>
      <x:c r="R9" s="8" t="s">
        <x:v>13</x:v>
      </x:c>
      <x:c r="S9" s="8" t="s">
        <x:v>8</x:v>
      </x:c>
      <x:c r="T9" s="8" t="s">
        <x:v>84</x:v>
      </x:c>
      <x:c r="U9" s="8" t="s">
        <x:v>5</x:v>
      </x:c>
      <x:c r="V9" s="8" t="str">
        <x:v>개별 연계 구현 필요</x:v>
      </x:c>
      <x:c r="W9" s="8" t="s">
        <x:v>87</x:v>
      </x:c>
      <x:c r="X9" s="8" t="s">
        <x:v>86</x:v>
      </x:c>
      <x:c r="Y9" s="17">
        <x:v>1</x:v>
      </x:c>
    </x:row>
    <x:row r="10" ht="72" customHeight="1">
      <x:c r="A10" s="8" t="s">
        <x:v>93</x:v>
      </x:c>
      <x:c r="B10" s="8" t="s">
        <x:v>89</x:v>
      </x:c>
      <x:c r="C10" s="17">
        <x:v>4</x:v>
      </x:c>
      <x:c r="D10" s="17">
        <x:v>2</x:v>
      </x:c>
      <x:c r="E10" s="8" t="s">
        <x:v>580</x:v>
      </x:c>
      <x:c r="F10" s="8" t="str">
        <x:v>적 하나를 4회 공격한다. 각 타격 피해는 공격력의 40%+2이며, 이번 전투 앞선 타격 공격 스킬 사용 1회당 각 타격 피해 +1, 최대 +12.</x:v>
      </x:c>
      <x:c r="G10" s="8"/>
      <x:c r="H10" s="17">
        <x:v>0</x:v>
      </x:c>
      <x:c r="I10" s="8" t="s">
        <x:v>581</x:v>
      </x:c>
      <x:c r="J10" s="8" t="s">
        <x:v>582</x:v>
      </x:c>
      <x:c r="K10" s="17">
        <x:v>0</x:v>
      </x:c>
      <x:c r="L10" s="17">
        <x:v>0</x:v>
      </x:c>
      <x:c r="M10" s="8" t="s">
        <x:v>580</x:v>
      </x:c>
      <x:c r="N10" s="17">
        <x:v>2</x:v>
      </x:c>
      <x:c r="O10" s="8" t="s">
        <x:v>601</x:v>
      </x:c>
      <x:c r="P10" s="8" t="s">
        <x:v>602</x:v>
      </x:c>
      <x:c r="Q10" s="8" t="s">
        <x:v>585</x:v>
      </x:c>
      <x:c r="R10" s="8" t="s">
        <x:v>13</x:v>
      </x:c>
      <x:c r="S10" s="8" t="s">
        <x:v>10</x:v>
      </x:c>
      <x:c r="T10" s="8" t="s">
        <x:v>90</x:v>
      </x:c>
      <x:c r="U10" s="8" t="s">
        <x:v>5</x:v>
      </x:c>
      <x:c r="V10" s="8" t="str">
        <x:v>개별 연계 구현 필요</x:v>
      </x:c>
      <x:c r="W10" s="8" t="s">
        <x:v>52</x:v>
      </x:c>
      <x:c r="X10" s="8" t="s">
        <x:v>92</x:v>
      </x:c>
      <x:c r="Y10" s="17">
        <x:v>1</x:v>
      </x:c>
    </x:row>
    <x:row r="11" ht="72" customHeight="1">
      <x:c r="A11" s="8" t="s">
        <x:v>97</x:v>
      </x:c>
      <x:c r="B11" s="8" t="s">
        <x:v>94</x:v>
      </x:c>
      <x:c r="C11" s="17">
        <x:v>6</x:v>
      </x:c>
      <x:c r="D11" s="17">
        <x:v>4</x:v>
      </x:c>
      <x:c r="E11" s="8" t="s">
        <x:v>580</x:v>
      </x:c>
      <x:c r="F11" s="8" t="s">
        <x:v>96</x:v>
      </x:c>
      <x:c r="G11" s="8"/>
      <x:c r="H11" s="17">
        <x:v>0</x:v>
      </x:c>
      <x:c r="I11" s="8" t="s">
        <x:v>581</x:v>
      </x:c>
      <x:c r="J11" s="8" t="s">
        <x:v>582</x:v>
      </x:c>
      <x:c r="K11" s="17">
        <x:v>0</x:v>
      </x:c>
      <x:c r="L11" s="17">
        <x:v>0</x:v>
      </x:c>
      <x:c r="M11" s="8" t="s">
        <x:v>580</x:v>
      </x:c>
      <x:c r="N11" s="17">
        <x:v>2</x:v>
      </x:c>
      <x:c r="O11" s="8" t="s">
        <x:v>603</x:v>
      </x:c>
      <x:c r="P11" s="8" t="s">
        <x:v>604</x:v>
      </x:c>
      <x:c r="Q11" s="8" t="s">
        <x:v>585</x:v>
      </x:c>
      <x:c r="R11" s="8" t="s">
        <x:v>13</x:v>
      </x:c>
      <x:c r="S11" s="8" t="s">
        <x:v>11</x:v>
      </x:c>
      <x:c r="T11" s="8" t="s">
        <x:v>95</x:v>
      </x:c>
      <x:c r="U11" s="8" t="s">
        <x:v>5</x:v>
      </x:c>
      <x:c r="V11" s="8" t="str">
        <x:v>개별 연계 구현 필요</x:v>
      </x:c>
      <x:c r="W11" s="8" t="s">
        <x:v>52</x:v>
      </x:c>
      <x:c r="X11" s="8" t="s">
        <x:v>47</x:v>
      </x:c>
      <x:c r="Y11" s="17">
        <x:v>1</x:v>
      </x:c>
    </x:row>
    <x:row r="12" ht="72" customHeight="1">
      <x:c r="A12" s="8" t="s">
        <x:v>103</x:v>
      </x:c>
      <x:c r="B12" s="8" t="s">
        <x:v>99</x:v>
      </x:c>
      <x:c r="C12" s="17">
        <x:v>2</x:v>
      </x:c>
      <x:c r="D12" s="17">
        <x:v>1</x:v>
      </x:c>
      <x:c r="E12" s="8" t="s">
        <x:v>580</x:v>
      </x:c>
      <x:c r="F12" s="8" t="str">
        <x:v>적 하나를 2회 공격한다. 각 타격은 공격력의 55%+2. 공격 후 대상의 공격력을 1턴 동안 33% 감소시킨다.</x:v>
      </x:c>
      <x:c r="G12" s="8" t="str">
        <x:v>{"targetMode":"singleEnemy","damageFormula":"attack*0.55+2+1*n","hitCount":2,"applyEffects":[{"effectId":"effect_v2_weak","target":"enemy","chance":100,"value":-33,"durationTurns":1,"stacks":1}]}</x:v>
      </x:c>
      <x:c r="H12" s="17">
        <x:v>1</x:v>
      </x:c>
      <x:c r="I12" s="8" t="s">
        <x:v>581</x:v>
      </x:c>
      <x:c r="J12" s="8" t="s">
        <x:v>582</x:v>
      </x:c>
      <x:c r="K12" s="17">
        <x:v>0</x:v>
      </x:c>
      <x:c r="L12" s="17">
        <x:v>0</x:v>
      </x:c>
      <x:c r="M12" s="8" t="s">
        <x:v>580</x:v>
      </x:c>
      <x:c r="N12" s="17">
        <x:v>1</x:v>
      </x:c>
      <x:c r="O12" s="8" t="s">
        <x:v>587</x:v>
      </x:c>
      <x:c r="P12" s="8" t="s">
        <x:v>605</x:v>
      </x:c>
      <x:c r="Q12" s="8" t="s">
        <x:v>585</x:v>
      </x:c>
      <x:c r="R12" s="8" t="s">
        <x:v>13</x:v>
      </x:c>
      <x:c r="S12" s="8" t="s">
        <x:v>8</x:v>
      </x:c>
      <x:c r="T12" s="8" t="s">
        <x:v>100</x:v>
      </x:c>
      <x:c r="U12" s="8" t="s">
        <x:v>98</x:v>
      </x:c>
      <x:c r="V12" s="8" t="s">
        <x:v>26</x:v>
      </x:c>
      <x:c r="W12" s="8"/>
      <x:c r="X12" s="8" t="s">
        <x:v>102</x:v>
      </x:c>
      <x:c r="Y12" s="17">
        <x:v>1</x:v>
      </x:c>
    </x:row>
    <x:row r="13" ht="72" customHeight="1">
      <x:c r="A13" s="8" t="s">
        <x:v>108</x:v>
      </x:c>
      <x:c r="B13" s="8" t="s">
        <x:v>104</x:v>
      </x:c>
      <x:c r="C13" s="17">
        <x:v>2</x:v>
      </x:c>
      <x:c r="D13" s="17">
        <x:v>2</x:v>
      </x:c>
      <x:c r="E13" s="8" t="s">
        <x:v>580</x:v>
      </x:c>
      <x:c r="F13" s="8" t="str">
        <x:v>적 전체를 각각 2회 공격한다. 각 타격 피해는 공격력의 45%+2.</x:v>
      </x:c>
      <x:c r="G13" s="8" t="str">
        <x:v>{"targetMode":"allEnemies","hitCount":2,"damageFormula":"attack*0.45+2+1*n"}</x:v>
      </x:c>
      <x:c r="H13" s="17">
        <x:v>1</x:v>
      </x:c>
      <x:c r="I13" s="8" t="s">
        <x:v>581</x:v>
      </x:c>
      <x:c r="J13" s="8" t="s">
        <x:v>606</x:v>
      </x:c>
      <x:c r="K13" s="17">
        <x:v>0</x:v>
      </x:c>
      <x:c r="L13" s="17">
        <x:v>0</x:v>
      </x:c>
      <x:c r="M13" s="8" t="s">
        <x:v>580</x:v>
      </x:c>
      <x:c r="N13" s="17">
        <x:v>2</x:v>
      </x:c>
      <x:c r="O13" s="8" t="s">
        <x:v>591</x:v>
      </x:c>
      <x:c r="P13" s="8" t="s">
        <x:v>607</x:v>
      </x:c>
      <x:c r="Q13" s="8" t="s">
        <x:v>585</x:v>
      </x:c>
      <x:c r="R13" s="8" t="s">
        <x:v>13</x:v>
      </x:c>
      <x:c r="S13" s="8" t="s">
        <x:v>9</x:v>
      </x:c>
      <x:c r="T13" s="8" t="s">
        <x:v>105</x:v>
      </x:c>
      <x:c r="U13" s="8" t="s">
        <x:v>98</x:v>
      </x:c>
      <x:c r="V13" s="8" t="s">
        <x:v>24</x:v>
      </x:c>
      <x:c r="W13" s="8"/>
      <x:c r="X13" s="8" t="s">
        <x:v>47</x:v>
      </x:c>
      <x:c r="Y13" s="17">
        <x:v>1</x:v>
      </x:c>
    </x:row>
    <x:row r="14" ht="72" customHeight="1">
      <x:c r="A14" s="8" t="s">
        <x:v>114</x:v>
      </x:c>
      <x:c r="B14" s="8" t="s">
        <x:v>109</x:v>
      </x:c>
      <x:c r="C14" s="17">
        <x:v>1</x:v>
      </x:c>
      <x:c r="D14" s="17">
        <x:v>3</x:v>
      </x:c>
      <x:c r="E14" s="8" t="s">
        <x:v>580</x:v>
      </x:c>
      <x:c r="F14" s="8" t="str">
        <x:v>방어력+4의 방어막을 얻는다. 다음 몬스터 턴에 방어막으로 직접 공격을 막으면 공격자에게 3회 반격한다. 반격은 공격력의 33%+2, 전체 효과 중 1회만 발동.</x:v>
      </x:c>
      <x:c r="G14" s="8"/>
      <x:c r="H14" s="17">
        <x:v>0</x:v>
      </x:c>
      <x:c r="I14" s="8" t="s">
        <x:v>593</x:v>
      </x:c>
      <x:c r="J14" s="8" t="s">
        <x:v>594</x:v>
      </x:c>
      <x:c r="K14" s="17">
        <x:v>0</x:v>
      </x:c>
      <x:c r="L14" s="17">
        <x:v>0</x:v>
      </x:c>
      <x:c r="M14" s="8" t="s">
        <x:v>580</x:v>
      </x:c>
      <x:c r="N14" s="17">
        <x:v>1</x:v>
      </x:c>
      <x:c r="O14" s="8" t="s">
        <x:v>591</x:v>
      </x:c>
      <x:c r="P14" s="8" t="s">
        <x:v>608</x:v>
      </x:c>
      <x:c r="Q14" s="8" t="s">
        <x:v>585</x:v>
      </x:c>
      <x:c r="R14" s="8" t="s">
        <x:v>13</x:v>
      </x:c>
      <x:c r="S14" s="8" t="s">
        <x:v>9</x:v>
      </x:c>
      <x:c r="T14" s="8" t="s">
        <x:v>110</x:v>
      </x:c>
      <x:c r="U14" s="8" t="s">
        <x:v>98</x:v>
      </x:c>
      <x:c r="V14" s="8" t="str">
        <x:v>개별 연계 구현 필요</x:v>
      </x:c>
      <x:c r="W14" s="8" t="s">
        <x:v>113</x:v>
      </x:c>
      <x:c r="X14" s="8" t="s">
        <x:v>112</x:v>
      </x:c>
      <x:c r="Y14" s="17">
        <x:v>1</x:v>
      </x:c>
    </x:row>
    <x:row r="15" ht="72" customHeight="1">
      <x:c r="A15" s="8" t="s">
        <x:v>118</x:v>
      </x:c>
      <x:c r="B15" s="8" t="s">
        <x:v>115</x:v>
      </x:c>
      <x:c r="C15" s="17">
        <x:v>1</x:v>
      </x:c>
      <x:c r="D15" s="17">
        <x:v>4</x:v>
      </x:c>
      <x:c r="E15" s="8" t="s">
        <x:v>596</x:v>
      </x:c>
      <x:c r="F15" s="8" t="str">
        <x:v>이번 턴의 타격 스킬 사용 횟수를 최대 2회까지 이번 턴에 저장한다. 다음 턴 첫 타격 스킬을 사용하면 저장된 타격 스킬 사용 횟수를 해당 스킬에 반영하고 소멸한다. 서로 다른 스킬 조건에는 포함하지 않는다.</x:v>
      </x:c>
      <x:c r="G15" s="8"/>
      <x:c r="H15" s="17">
        <x:v>0</x:v>
      </x:c>
      <x:c r="I15" s="8" t="s">
        <x:v>597</x:v>
      </x:c>
      <x:c r="J15" s="8" t="s">
        <x:v>594</x:v>
      </x:c>
      <x:c r="K15" s="17">
        <x:v>0</x:v>
      </x:c>
      <x:c r="L15" s="17">
        <x:v>0</x:v>
      </x:c>
      <x:c r="M15" s="8" t="s">
        <x:v>596</x:v>
      </x:c>
      <x:c r="N15" s="17">
        <x:v>1</x:v>
      </x:c>
      <x:c r="O15" s="8" t="s">
        <x:v>609</x:v>
      </x:c>
      <x:c r="P15" s="8" t="s">
        <x:v>610</x:v>
      </x:c>
      <x:c r="Q15" s="8" t="s">
        <x:v>585</x:v>
      </x:c>
      <x:c r="R15" s="8" t="s">
        <x:v>13</x:v>
      </x:c>
      <x:c r="S15" s="8" t="s">
        <x:v>12</x:v>
      </x:c>
      <x:c r="T15" s="8" t="s">
        <x:v>116</x:v>
      </x:c>
      <x:c r="U15" s="8" t="s">
        <x:v>98</x:v>
      </x:c>
      <x:c r="V15" s="8" t="str">
        <x:v>개별 연계 구현 필요</x:v>
      </x:c>
      <x:c r="W15" s="8" t="s">
        <x:v>52</x:v>
      </x:c>
      <x:c r="X15" s="8" t="s">
        <x:v>80</x:v>
      </x:c>
      <x:c r="Y15" s="17">
        <x:v>1</x:v>
      </x:c>
    </x:row>
    <x:row r="16" ht="72" customHeight="1">
      <x:c r="A16" s="8" t="s">
        <x:v>122</x:v>
      </x:c>
      <x:c r="B16" s="8" t="s">
        <x:v>119</x:v>
      </x:c>
      <x:c r="C16" s="17">
        <x:v>8</x:v>
      </x:c>
      <x:c r="D16" s="17">
        <x:v>5</x:v>
      </x:c>
      <x:c r="E16" s="8" t="s">
        <x:v>611</x:v>
      </x:c>
      <x:c r="F16" s="8" t="str">
        <x:v>적 하나를 8회 공격한다. 각 타격은 공격력의 55%+2. 이번 전투 타격 공격 사용 8회 이상일 때 사용 가능하며 전투당 1회.</x:v>
      </x:c>
      <x:c r="G16" s="8"/>
      <x:c r="H16" s="17">
        <x:v>0</x:v>
      </x:c>
      <x:c r="I16" s="8" t="s">
        <x:v>581</x:v>
      </x:c>
      <x:c r="J16" s="8" t="s">
        <x:v>582</x:v>
      </x:c>
      <x:c r="K16" s="17">
        <x:v>0</x:v>
      </x:c>
      <x:c r="L16" s="17">
        <x:v>0</x:v>
      </x:c>
      <x:c r="M16" s="8" t="s">
        <x:v>580</x:v>
      </x:c>
      <x:c r="N16" s="17">
        <x:v>3</x:v>
      </x:c>
      <x:c r="O16" s="8" t="s">
        <x:v>601</x:v>
      </x:c>
      <x:c r="P16" s="8" t="s">
        <x:v>612</x:v>
      </x:c>
      <x:c r="Q16" s="8" t="s">
        <x:v>585</x:v>
      </x:c>
      <x:c r="R16" s="8" t="s">
        <x:v>13</x:v>
      </x:c>
      <x:c r="S16" s="8" t="s">
        <x:v>10</x:v>
      </x:c>
      <x:c r="T16" s="8" t="s">
        <x:v>120</x:v>
      </x:c>
      <x:c r="U16" s="8" t="s">
        <x:v>98</x:v>
      </x:c>
      <x:c r="V16" s="8" t="str">
        <x:v>개별 연계 구현 필요</x:v>
      </x:c>
      <x:c r="W16" s="8" t="s">
        <x:v>52</x:v>
      </x:c>
      <x:c r="X16" s="8" t="s">
        <x:v>47</x:v>
      </x:c>
      <x:c r="Y16" s="17">
        <x:v>1</x:v>
      </x:c>
    </x:row>
    <x:row r="17" ht="72" customHeight="1">
      <x:c r="A17" s="8" t="s">
        <x:v>128</x:v>
      </x:c>
      <x:c r="B17" s="8" t="s">
        <x:v>123</x:v>
      </x:c>
      <x:c r="C17" s="17">
        <x:v>1</x:v>
      </x:c>
      <x:c r="D17" s="17">
        <x:v>3</x:v>
      </x:c>
      <x:c r="E17" s="8" t="s">
        <x:v>611</x:v>
      </x:c>
      <x:c r="F17" s="8" t="str">
        <x:v>적 하나에게 공격력의 125%+5 피해를 준다. 이번 전투 아직 체력 피해를 받지 않았다면 피해가 50% 증가한다. 전투당 1회.</x:v>
      </x:c>
      <x:c r="G17" s="8"/>
      <x:c r="H17" s="17">
        <x:v>0</x:v>
      </x:c>
      <x:c r="I17" s="8" t="s">
        <x:v>581</x:v>
      </x:c>
      <x:c r="J17" s="8" t="s">
        <x:v>582</x:v>
      </x:c>
      <x:c r="K17" s="17">
        <x:v>0</x:v>
      </x:c>
      <x:c r="L17" s="17">
        <x:v>0</x:v>
      </x:c>
      <x:c r="M17" s="8" t="s">
        <x:v>580</x:v>
      </x:c>
      <x:c r="N17" s="17">
        <x:v>1</x:v>
      </x:c>
      <x:c r="O17" s="8" t="s">
        <x:v>583</x:v>
      </x:c>
      <x:c r="P17" s="8" t="s">
        <x:v>613</x:v>
      </x:c>
      <x:c r="Q17" s="8" t="s">
        <x:v>614</x:v>
      </x:c>
      <x:c r="R17" s="8" t="s">
        <x:v>14</x:v>
      </x:c>
      <x:c r="S17" s="8" t="s">
        <x:v>7</x:v>
      </x:c>
      <x:c r="T17" s="8" t="s">
        <x:v>124</x:v>
      </x:c>
      <x:c r="U17" s="8" t="s">
        <x:v>5</x:v>
      </x:c>
      <x:c r="V17" s="8" t="str">
        <x:v>개별 연계 구현 필요</x:v>
      </x:c>
      <x:c r="W17" s="8" t="s">
        <x:v>127</x:v>
      </x:c>
      <x:c r="X17" s="8" t="s">
        <x:v>126</x:v>
      </x:c>
      <x:c r="Y17" s="17">
        <x:v>1</x:v>
      </x:c>
    </x:row>
    <x:row r="18" ht="72" customHeight="1">
      <x:c r="A18" s="8" t="s">
        <x:v>133</x:v>
      </x:c>
      <x:c r="B18" s="8" t="s">
        <x:v>129</x:v>
      </x:c>
      <x:c r="C18" s="17">
        <x:v>1</x:v>
      </x:c>
      <x:c r="D18" s="17">
        <x:v>1</x:v>
      </x:c>
      <x:c r="E18" s="8" t="s">
        <x:v>580</x:v>
      </x:c>
      <x:c r="F18" s="8" t="s">
        <x:v>131</x:v>
      </x:c>
      <x:c r="G18" s="8" t="str">
        <x:v>{"targetMode":"singleEnemy","damageFormula":"attack*1.1+4+3*n","conditionalDamage":{"targetHpBelowPercent":30,"damageMultiplierFormula":"1.6"}}</x:v>
      </x:c>
      <x:c r="H18" s="17">
        <x:v>1</x:v>
      </x:c>
      <x:c r="I18" s="8" t="s">
        <x:v>581</x:v>
      </x:c>
      <x:c r="J18" s="8" t="s">
        <x:v>582</x:v>
      </x:c>
      <x:c r="K18" s="17">
        <x:v>0</x:v>
      </x:c>
      <x:c r="L18" s="17">
        <x:v>0</x:v>
      </x:c>
      <x:c r="M18" s="8" t="s">
        <x:v>580</x:v>
      </x:c>
      <x:c r="N18" s="17">
        <x:v>1</x:v>
      </x:c>
      <x:c r="O18" s="8" t="s">
        <x:v>583</x:v>
      </x:c>
      <x:c r="P18" s="8" t="s">
        <x:v>615</x:v>
      </x:c>
      <x:c r="Q18" s="8" t="s">
        <x:v>614</x:v>
      </x:c>
      <x:c r="R18" s="8" t="s">
        <x:v>14</x:v>
      </x:c>
      <x:c r="S18" s="8" t="s">
        <x:v>7</x:v>
      </x:c>
      <x:c r="T18" s="8" t="s">
        <x:v>130</x:v>
      </x:c>
      <x:c r="U18" s="8" t="s">
        <x:v>5</x:v>
      </x:c>
      <x:c r="V18" s="8" t="s">
        <x:v>24</x:v>
      </x:c>
      <x:c r="W18" s="8"/>
      <x:c r="X18" s="8" t="s">
        <x:v>132</x:v>
      </x:c>
      <x:c r="Y18" s="17">
        <x:v>1</x:v>
      </x:c>
    </x:row>
    <x:row r="19" ht="72" customHeight="1">
      <x:c r="A19" s="8" t="s">
        <x:v>139</x:v>
      </x:c>
      <x:c r="B19" s="8" t="s">
        <x:v>134</x:v>
      </x:c>
      <x:c r="C19" s="17">
        <x:v>1</x:v>
      </x:c>
      <x:c r="D19" s="17">
        <x:v>2</x:v>
      </x:c>
      <x:c r="E19" s="8" t="s">
        <x:v>580</x:v>
      </x:c>
      <x:c r="F19" s="8" t="s">
        <x:v>136</x:v>
      </x:c>
      <x:c r="G19" s="8"/>
      <x:c r="H19" s="17">
        <x:v>0</x:v>
      </x:c>
      <x:c r="I19" s="8" t="s">
        <x:v>581</x:v>
      </x:c>
      <x:c r="J19" s="8" t="s">
        <x:v>582</x:v>
      </x:c>
      <x:c r="K19" s="17">
        <x:v>0</x:v>
      </x:c>
      <x:c r="L19" s="17">
        <x:v>0</x:v>
      </x:c>
      <x:c r="M19" s="8" t="s">
        <x:v>580</x:v>
      </x:c>
      <x:c r="N19" s="17">
        <x:v>1</x:v>
      </x:c>
      <x:c r="O19" s="8" t="s">
        <x:v>587</x:v>
      </x:c>
      <x:c r="P19" s="8" t="s">
        <x:v>616</x:v>
      </x:c>
      <x:c r="Q19" s="8" t="s">
        <x:v>614</x:v>
      </x:c>
      <x:c r="R19" s="8" t="s">
        <x:v>14</x:v>
      </x:c>
      <x:c r="S19" s="8" t="s">
        <x:v>8</x:v>
      </x:c>
      <x:c r="T19" s="8" t="s">
        <x:v>135</x:v>
      </x:c>
      <x:c r="U19" s="8" t="s">
        <x:v>5</x:v>
      </x:c>
      <x:c r="V19" s="8" t="str">
        <x:v>개별 연계 구현 필요</x:v>
      </x:c>
      <x:c r="W19" s="8" t="s">
        <x:v>138</x:v>
      </x:c>
      <x:c r="X19" s="8" t="s">
        <x:v>137</x:v>
      </x:c>
      <x:c r="Y19" s="17">
        <x:v>1</x:v>
      </x:c>
    </x:row>
    <x:row r="20" ht="72" customHeight="1">
      <x:c r="A20" s="8" t="s">
        <x:v>143</x:v>
      </x:c>
      <x:c r="B20" s="8" t="s">
        <x:v>140</x:v>
      </x:c>
      <x:c r="C20" s="17">
        <x:v>1</x:v>
      </x:c>
      <x:c r="D20" s="17">
        <x:v>2</x:v>
      </x:c>
      <x:c r="E20" s="8" t="s">
        <x:v>580</x:v>
      </x:c>
      <x:c r="F20" s="8" t="str">
        <x:v>자신의 체력 5을 소모한 뒤 (체력소모는 방어막 무시) 적 하나에게 공격력의 220%+8 피해를 준다. 현재 체력이 5 이하면 사용할 수 없다.</x:v>
      </x:c>
      <x:c r="G20" s="8"/>
      <x:c r="H20" s="17">
        <x:v>0</x:v>
      </x:c>
      <x:c r="I20" s="8" t="s">
        <x:v>581</x:v>
      </x:c>
      <x:c r="J20" s="8" t="s">
        <x:v>582</x:v>
      </x:c>
      <x:c r="K20" s="17">
        <x:v>0</x:v>
      </x:c>
      <x:c r="L20" s="17">
        <x:v>0</x:v>
      </x:c>
      <x:c r="M20" s="8" t="s">
        <x:v>580</x:v>
      </x:c>
      <x:c r="N20" s="17">
        <x:v>1</x:v>
      </x:c>
      <x:c r="O20" s="8" t="s">
        <x:v>587</x:v>
      </x:c>
      <x:c r="P20" s="8" t="s">
        <x:v>617</x:v>
      </x:c>
      <x:c r="Q20" s="8" t="s">
        <x:v>614</x:v>
      </x:c>
      <x:c r="R20" s="8" t="s">
        <x:v>14</x:v>
      </x:c>
      <x:c r="S20" s="8" t="s">
        <x:v>8</x:v>
      </x:c>
      <x:c r="T20" s="8" t="s">
        <x:v>141</x:v>
      </x:c>
      <x:c r="U20" s="8" t="s">
        <x:v>5</x:v>
      </x:c>
      <x:c r="V20" s="8" t="str">
        <x:v>개별 연계 구현 필요</x:v>
      </x:c>
      <x:c r="W20" s="8" t="s">
        <x:v>138</x:v>
      </x:c>
      <x:c r="X20" s="8" t="str">
        <x:v>레벨당 기본 피해 +5. 체력 비용 5 유지.</x:v>
      </x:c>
      <x:c r="Y20" s="17">
        <x:v>1</x:v>
      </x:c>
    </x:row>
    <x:row r="21" ht="72" customHeight="1">
      <x:c r="A21" s="8" t="s">
        <x:v>149</x:v>
      </x:c>
      <x:c r="B21" s="8" t="s">
        <x:v>144</x:v>
      </x:c>
      <x:c r="C21" s="17">
        <x:v>1</x:v>
      </x:c>
      <x:c r="D21" s="17">
        <x:v>3</x:v>
      </x:c>
      <x:c r="E21" s="8" t="s">
        <x:v>580</x:v>
      </x:c>
      <x:c r="F21" s="8" t="str">
        <x:v>적 하나에게 공격력의 270%+10 피해를 준다. 다음 자신의 턴 시작까지 회피율이 20%p 감소하고 받는 직접 공격 피해가 25% 증가한다.</x:v>
      </x:c>
      <x:c r="G21" s="8"/>
      <x:c r="H21" s="17">
        <x:v>0</x:v>
      </x:c>
      <x:c r="I21" s="8" t="s">
        <x:v>581</x:v>
      </x:c>
      <x:c r="J21" s="8" t="s">
        <x:v>582</x:v>
      </x:c>
      <x:c r="K21" s="17">
        <x:v>0</x:v>
      </x:c>
      <x:c r="L21" s="17">
        <x:v>0</x:v>
      </x:c>
      <x:c r="M21" s="8" t="s">
        <x:v>580</x:v>
      </x:c>
      <x:c r="N21" s="17">
        <x:v>2</x:v>
      </x:c>
      <x:c r="O21" s="8" t="s">
        <x:v>591</x:v>
      </x:c>
      <x:c r="P21" s="8" t="s">
        <x:v>618</x:v>
      </x:c>
      <x:c r="Q21" s="8" t="s">
        <x:v>614</x:v>
      </x:c>
      <x:c r="R21" s="8" t="s">
        <x:v>14</x:v>
      </x:c>
      <x:c r="S21" s="8" t="s">
        <x:v>9</x:v>
      </x:c>
      <x:c r="T21" s="8" t="s">
        <x:v>145</x:v>
      </x:c>
      <x:c r="U21" s="8" t="s">
        <x:v>5</x:v>
      </x:c>
      <x:c r="V21" s="8" t="str">
        <x:v>개별 연계 구현 필요</x:v>
      </x:c>
      <x:c r="W21" s="8" t="s">
        <x:v>148</x:v>
      </x:c>
      <x:c r="X21" s="8" t="s">
        <x:v>147</x:v>
      </x:c>
      <x:c r="Y21" s="17">
        <x:v>1</x:v>
      </x:c>
    </x:row>
    <x:row r="22" ht="72" customHeight="1">
      <x:c r="A22" s="8" t="s">
        <x:v>153</x:v>
      </x:c>
      <x:c r="B22" s="8" t="s">
        <x:v>150</x:v>
      </x:c>
      <x:c r="C22" s="17">
        <x:v>1</x:v>
      </x:c>
      <x:c r="D22" s="17">
        <x:v>2</x:v>
      </x:c>
      <x:c r="E22" s="8" t="s">
        <x:v>596</x:v>
      </x:c>
      <x:c r="F22" s="8" t="str">
        <x:v>다음 몬스터 턴이 끝날 때까지 회피율이 40%p 증가한다.</x:v>
      </x:c>
      <x:c r="G22" s="8" t="str">
        <x:v>{"targetMode":"self","applyEffects":[{"effectId":"effect_v2_evasion_up","target":"self","chance":100,"value":40,"durationTurns":1,"stacks":1}]}</x:v>
      </x:c>
      <x:c r="H22" s="17">
        <x:v>1</x:v>
      </x:c>
      <x:c r="I22" s="8" t="s">
        <x:v>597</x:v>
      </x:c>
      <x:c r="J22" s="8" t="s">
        <x:v>594</x:v>
      </x:c>
      <x:c r="K22" s="17">
        <x:v>0</x:v>
      </x:c>
      <x:c r="L22" s="17">
        <x:v>0</x:v>
      </x:c>
      <x:c r="M22" s="8" t="s">
        <x:v>596</x:v>
      </x:c>
      <x:c r="N22" s="17">
        <x:v>1</x:v>
      </x:c>
      <x:c r="O22" s="8" t="s">
        <x:v>583</x:v>
      </x:c>
      <x:c r="P22" s="8" t="s">
        <x:v>619</x:v>
      </x:c>
      <x:c r="Q22" s="8" t="s">
        <x:v>614</x:v>
      </x:c>
      <x:c r="R22" s="8" t="s">
        <x:v>14</x:v>
      </x:c>
      <x:c r="S22" s="8" t="s">
        <x:v>7</x:v>
      </x:c>
      <x:c r="T22" s="8" t="s">
        <x:v>151</x:v>
      </x:c>
      <x:c r="U22" s="8" t="s">
        <x:v>5</x:v>
      </x:c>
      <x:c r="V22" s="8" t="s">
        <x:v>26</x:v>
      </x:c>
      <x:c r="W22" s="8"/>
      <x:c r="X22" s="8" t="s">
        <x:v>80</x:v>
      </x:c>
      <x:c r="Y22" s="17">
        <x:v>1</x:v>
      </x:c>
    </x:row>
    <x:row r="23" ht="72" customHeight="1">
      <x:c r="A23" s="8" t="s">
        <x:v>158</x:v>
      </x:c>
      <x:c r="B23" s="8" t="s">
        <x:v>154</x:v>
      </x:c>
      <x:c r="C23" s="17">
        <x:v>1</x:v>
      </x:c>
      <x:c r="D23" s="17">
        <x:v>2</x:v>
      </x:c>
      <x:c r="E23" s="8" t="s">
        <x:v>580</x:v>
      </x:c>
      <x:c r="F23" s="8" t="str">
        <x:v>적 하나의 명중률을 다음 몬스터 턴까지 20%p 낮춘다. 그 적에게 가하는 다음 "암살" 키워드 스킬의 1회의 피해가 35% 증가한다.</x:v>
      </x:c>
      <x:c r="G23" s="8"/>
      <x:c r="H23" s="17">
        <x:v>0</x:v>
      </x:c>
      <x:c r="I23" s="8" t="s">
        <x:v>620</x:v>
      </x:c>
      <x:c r="J23" s="8" t="s">
        <x:v>582</x:v>
      </x:c>
      <x:c r="K23" s="17">
        <x:v>0</x:v>
      </x:c>
      <x:c r="L23" s="17">
        <x:v>0</x:v>
      </x:c>
      <x:c r="M23" s="8" t="s">
        <x:v>580</x:v>
      </x:c>
      <x:c r="N23" s="17">
        <x:v>1</x:v>
      </x:c>
      <x:c r="O23" s="8" t="s">
        <x:v>587</x:v>
      </x:c>
      <x:c r="P23" s="8" t="s">
        <x:v>621</x:v>
      </x:c>
      <x:c r="Q23" s="8" t="s">
        <x:v>614</x:v>
      </x:c>
      <x:c r="R23" s="8" t="s">
        <x:v>14</x:v>
      </x:c>
      <x:c r="S23" s="8" t="s">
        <x:v>8</x:v>
      </x:c>
      <x:c r="T23" s="8" t="s">
        <x:v>155</x:v>
      </x:c>
      <x:c r="U23" s="8" t="s">
        <x:v>5</x:v>
      </x:c>
      <x:c r="V23" s="8" t="str">
        <x:v>개별 연계 구현 필요</x:v>
      </x:c>
      <x:c r="W23" s="8" t="s">
        <x:v>75</x:v>
      </x:c>
      <x:c r="X23" s="8" t="s">
        <x:v>157</x:v>
      </x:c>
      <x:c r="Y23" s="17">
        <x:v>1</x:v>
      </x:c>
    </x:row>
    <x:row r="24" ht="72" customHeight="1">
      <x:c r="A24" s="8" t="s">
        <x:v>163</x:v>
      </x:c>
      <x:c r="B24" s="8" t="s">
        <x:v>159</x:v>
      </x:c>
      <x:c r="C24" s="17">
        <x:v>1</x:v>
      </x:c>
      <x:c r="D24" s="17">
        <x:v>2</x:v>
      </x:c>
      <x:c r="E24" s="8" t="s">
        <x:v>580</x:v>
      </x:c>
      <x:c r="F24" s="8" t="s">
        <x:v>161</x:v>
      </x:c>
      <x:c r="G24" s="8" t="str">
        <x:v>{"targetMode":"singleEnemy","damageFormula":"attack*1.1+4+3*n","applyEffects":[{"effectId":"effect_v2_evasion_up","target":"self","chance":100,"value":20,"durationTurns":1,"stacks":1}]}</x:v>
      </x:c>
      <x:c r="H24" s="17">
        <x:v>1</x:v>
      </x:c>
      <x:c r="I24" s="8" t="s">
        <x:v>581</x:v>
      </x:c>
      <x:c r="J24" s="8" t="s">
        <x:v>582</x:v>
      </x:c>
      <x:c r="K24" s="17">
        <x:v>0</x:v>
      </x:c>
      <x:c r="L24" s="17">
        <x:v>0</x:v>
      </x:c>
      <x:c r="M24" s="8" t="s">
        <x:v>580</x:v>
      </x:c>
      <x:c r="N24" s="17">
        <x:v>1</x:v>
      </x:c>
      <x:c r="O24" s="8" t="s">
        <x:v>587</x:v>
      </x:c>
      <x:c r="P24" s="8" t="s">
        <x:v>622</x:v>
      </x:c>
      <x:c r="Q24" s="8" t="s">
        <x:v>614</x:v>
      </x:c>
      <x:c r="R24" s="8" t="s">
        <x:v>14</x:v>
      </x:c>
      <x:c r="S24" s="8" t="s">
        <x:v>8</x:v>
      </x:c>
      <x:c r="T24" s="8" t="s">
        <x:v>160</x:v>
      </x:c>
      <x:c r="U24" s="8" t="s">
        <x:v>5</x:v>
      </x:c>
      <x:c r="V24" s="8" t="s">
        <x:v>26</x:v>
      </x:c>
      <x:c r="W24" s="8"/>
      <x:c r="X24" s="8" t="s">
        <x:v>162</x:v>
      </x:c>
      <x:c r="Y24" s="17">
        <x:v>1</x:v>
      </x:c>
    </x:row>
    <x:row r="25" ht="72" customHeight="1">
      <x:c r="A25" s="8" t="s">
        <x:v>169</x:v>
      </x:c>
      <x:c r="B25" s="8" t="s">
        <x:v>164</x:v>
      </x:c>
      <x:c r="C25" s="17">
        <x:v>1</x:v>
      </x:c>
      <x:c r="D25" s="17">
        <x:v>3</x:v>
      </x:c>
      <x:c r="E25" s="8" t="s">
        <x:v>580</x:v>
      </x:c>
      <x:c r="F25" s="8" t="s">
        <x:v>166</x:v>
      </x:c>
      <x:c r="G25" s="8"/>
      <x:c r="H25" s="17">
        <x:v>0</x:v>
      </x:c>
      <x:c r="I25" s="8" t="s">
        <x:v>597</x:v>
      </x:c>
      <x:c r="J25" s="8" t="s">
        <x:v>594</x:v>
      </x:c>
      <x:c r="K25" s="17">
        <x:v>0</x:v>
      </x:c>
      <x:c r="L25" s="17">
        <x:v>0</x:v>
      </x:c>
      <x:c r="M25" s="8" t="s">
        <x:v>580</x:v>
      </x:c>
      <x:c r="N25" s="17">
        <x:v>1</x:v>
      </x:c>
      <x:c r="O25" s="8" t="s">
        <x:v>591</x:v>
      </x:c>
      <x:c r="P25" s="8" t="s">
        <x:v>623</x:v>
      </x:c>
      <x:c r="Q25" s="8" t="s">
        <x:v>614</x:v>
      </x:c>
      <x:c r="R25" s="8" t="s">
        <x:v>14</x:v>
      </x:c>
      <x:c r="S25" s="8" t="s">
        <x:v>9</x:v>
      </x:c>
      <x:c r="T25" s="8" t="s">
        <x:v>165</x:v>
      </x:c>
      <x:c r="U25" s="8" t="s">
        <x:v>5</x:v>
      </x:c>
      <x:c r="V25" s="8" t="str">
        <x:v>개별 연계 구현 필요</x:v>
      </x:c>
      <x:c r="W25" s="8" t="s">
        <x:v>624</x:v>
      </x:c>
      <x:c r="X25" s="8" t="s">
        <x:v>167</x:v>
      </x:c>
      <x:c r="Y25" s="17">
        <x:v>1</x:v>
      </x:c>
    </x:row>
    <x:row r="26" ht="72" customHeight="1">
      <x:c r="A26" s="8" t="s">
        <x:v>174</x:v>
      </x:c>
      <x:c r="B26" s="8" t="s">
        <x:v>170</x:v>
      </x:c>
      <x:c r="C26" s="17">
        <x:v>1</x:v>
      </x:c>
      <x:c r="D26" s="17">
        <x:v>5</x:v>
      </x:c>
      <x:c r="E26" s="8" t="s">
        <x:v>580</x:v>
      </x:c>
      <x:c r="F26" s="8" t="s">
        <x:v>172</x:v>
      </x:c>
      <x:c r="G26" s="8"/>
      <x:c r="H26" s="17">
        <x:v>0</x:v>
      </x:c>
      <x:c r="I26" s="8" t="s">
        <x:v>581</x:v>
      </x:c>
      <x:c r="J26" s="8" t="s">
        <x:v>582</x:v>
      </x:c>
      <x:c r="K26" s="17">
        <x:v>0</x:v>
      </x:c>
      <x:c r="L26" s="17">
        <x:v>0</x:v>
      </x:c>
      <x:c r="M26" s="8" t="s">
        <x:v>580</x:v>
      </x:c>
      <x:c r="N26" s="17">
        <x:v>2</x:v>
      </x:c>
      <x:c r="O26" s="8" t="s">
        <x:v>603</x:v>
      </x:c>
      <x:c r="P26" s="8" t="s">
        <x:v>625</x:v>
      </x:c>
      <x:c r="Q26" s="8" t="s">
        <x:v>614</x:v>
      </x:c>
      <x:c r="R26" s="8" t="s">
        <x:v>14</x:v>
      </x:c>
      <x:c r="S26" s="8" t="s">
        <x:v>11</x:v>
      </x:c>
      <x:c r="T26" s="8" t="s">
        <x:v>171</x:v>
      </x:c>
      <x:c r="U26" s="8" t="s">
        <x:v>5</x:v>
      </x:c>
      <x:c r="V26" s="8" t="str">
        <x:v>개별 연계 구현 필요</x:v>
      </x:c>
      <x:c r="W26" s="8" t="s">
        <x:v>138</x:v>
      </x:c>
      <x:c r="X26" s="8" t="s">
        <x:v>173</x:v>
      </x:c>
      <x:c r="Y26" s="17">
        <x:v>1</x:v>
      </x:c>
    </x:row>
    <x:row r="27" ht="72" customHeight="1">
      <x:c r="A27" s="8" t="s">
        <x:v>180</x:v>
      </x:c>
      <x:c r="B27" s="8" t="s">
        <x:v>175</x:v>
      </x:c>
      <x:c r="C27" s="17">
        <x:v>1</x:v>
      </x:c>
      <x:c r="D27" s="17">
        <x:v>3</x:v>
      </x:c>
      <x:c r="E27" s="8" t="s">
        <x:v>580</x:v>
      </x:c>
      <x:c r="F27" s="8" t="s">
        <x:v>177</x:v>
      </x:c>
      <x:c r="G27" s="8"/>
      <x:c r="H27" s="17">
        <x:v>0</x:v>
      </x:c>
      <x:c r="I27" s="8" t="s">
        <x:v>620</x:v>
      </x:c>
      <x:c r="J27" s="8" t="s">
        <x:v>582</x:v>
      </x:c>
      <x:c r="K27" s="17">
        <x:v>0</x:v>
      </x:c>
      <x:c r="L27" s="17">
        <x:v>0</x:v>
      </x:c>
      <x:c r="M27" s="8" t="s">
        <x:v>580</x:v>
      </x:c>
      <x:c r="N27" s="17">
        <x:v>1</x:v>
      </x:c>
      <x:c r="O27" s="8" t="s">
        <x:v>591</x:v>
      </x:c>
      <x:c r="P27" s="8" t="s">
        <x:v>626</x:v>
      </x:c>
      <x:c r="Q27" s="8" t="s">
        <x:v>614</x:v>
      </x:c>
      <x:c r="R27" s="8" t="s">
        <x:v>14</x:v>
      </x:c>
      <x:c r="S27" s="8" t="s">
        <x:v>9</x:v>
      </x:c>
      <x:c r="T27" s="8" t="s">
        <x:v>176</x:v>
      </x:c>
      <x:c r="U27" s="8" t="s">
        <x:v>98</x:v>
      </x:c>
      <x:c r="V27" s="8" t="str">
        <x:v>개별 연계 구현 필요</x:v>
      </x:c>
      <x:c r="W27" s="8" t="s">
        <x:v>627</x:v>
      </x:c>
      <x:c r="X27" s="8" t="s">
        <x:v>178</x:v>
      </x:c>
      <x:c r="Y27" s="17">
        <x:v>1</x:v>
      </x:c>
    </x:row>
    <x:row r="28" ht="72" customHeight="1">
      <x:c r="A28" s="8" t="s">
        <x:v>185</x:v>
      </x:c>
      <x:c r="B28" s="8" t="s">
        <x:v>181</x:v>
      </x:c>
      <x:c r="C28" s="17">
        <x:v>1</x:v>
      </x:c>
      <x:c r="D28" s="17">
        <x:v>2</x:v>
      </x:c>
      <x:c r="E28" s="8" t="s">
        <x:v>580</x:v>
      </x:c>
      <x:c r="F28" s="8" t="s">
        <x:v>183</x:v>
      </x:c>
      <x:c r="G28" s="8"/>
      <x:c r="H28" s="17">
        <x:v>0</x:v>
      </x:c>
      <x:c r="I28" s="8" t="s">
        <x:v>581</x:v>
      </x:c>
      <x:c r="J28" s="8" t="s">
        <x:v>582</x:v>
      </x:c>
      <x:c r="K28" s="17">
        <x:v>0</x:v>
      </x:c>
      <x:c r="L28" s="17">
        <x:v>0</x:v>
      </x:c>
      <x:c r="M28" s="8" t="s">
        <x:v>580</x:v>
      </x:c>
      <x:c r="N28" s="17">
        <x:v>1</x:v>
      </x:c>
      <x:c r="O28" s="8" t="s">
        <x:v>591</x:v>
      </x:c>
      <x:c r="P28" s="8" t="s">
        <x:v>628</x:v>
      </x:c>
      <x:c r="Q28" s="8" t="s">
        <x:v>614</x:v>
      </x:c>
      <x:c r="R28" s="8" t="s">
        <x:v>14</x:v>
      </x:c>
      <x:c r="S28" s="8" t="s">
        <x:v>9</x:v>
      </x:c>
      <x:c r="T28" s="8" t="s">
        <x:v>182</x:v>
      </x:c>
      <x:c r="U28" s="8" t="s">
        <x:v>98</x:v>
      </x:c>
      <x:c r="V28" s="8" t="str">
        <x:v>개별 연계 구현 필요</x:v>
      </x:c>
      <x:c r="W28" s="8" t="s">
        <x:v>184</x:v>
      </x:c>
      <x:c r="X28" s="8" t="s">
        <x:v>126</x:v>
      </x:c>
      <x:c r="Y28" s="17">
        <x:v>1</x:v>
      </x:c>
    </x:row>
    <x:row r="29" ht="72" customHeight="1">
      <x:c r="A29" s="8" t="s">
        <x:v>189</x:v>
      </x:c>
      <x:c r="B29" s="8" t="s">
        <x:v>186</x:v>
      </x:c>
      <x:c r="C29" s="17">
        <x:v>1</x:v>
      </x:c>
      <x:c r="D29" s="17">
        <x:v>4</x:v>
      </x:c>
      <x:c r="E29" s="8" t="s">
        <x:v>596</x:v>
      </x:c>
      <x:c r="F29" s="8" t="s">
        <x:v>188</x:v>
      </x:c>
      <x:c r="G29" s="8" t="s">
        <x:v>629</x:v>
      </x:c>
      <x:c r="H29" s="17">
        <x:v>1</x:v>
      </x:c>
      <x:c r="I29" s="8" t="s">
        <x:v>620</x:v>
      </x:c>
      <x:c r="J29" s="8" t="s">
        <x:v>606</x:v>
      </x:c>
      <x:c r="K29" s="17">
        <x:v>0</x:v>
      </x:c>
      <x:c r="L29" s="17">
        <x:v>0</x:v>
      </x:c>
      <x:c r="M29" s="8" t="s">
        <x:v>596</x:v>
      </x:c>
      <x:c r="N29" s="17">
        <x:v>2</x:v>
      </x:c>
      <x:c r="O29" s="8" t="s">
        <x:v>601</x:v>
      </x:c>
      <x:c r="P29" s="8" t="s">
        <x:v>630</x:v>
      </x:c>
      <x:c r="Q29" s="8" t="s">
        <x:v>614</x:v>
      </x:c>
      <x:c r="R29" s="8" t="s">
        <x:v>14</x:v>
      </x:c>
      <x:c r="S29" s="8" t="s">
        <x:v>10</x:v>
      </x:c>
      <x:c r="T29" s="8" t="s">
        <x:v>187</x:v>
      </x:c>
      <x:c r="U29" s="8" t="s">
        <x:v>98</x:v>
      </x:c>
      <x:c r="V29" s="8" t="s">
        <x:v>26</x:v>
      </x:c>
      <x:c r="W29" s="8"/>
      <x:c r="X29" s="8" t="s">
        <x:v>80</x:v>
      </x:c>
      <x:c r="Y29" s="17">
        <x:v>1</x:v>
      </x:c>
    </x:row>
    <x:row r="30" ht="72" customHeight="1">
      <x:c r="A30" s="8" t="s">
        <x:v>194</x:v>
      </x:c>
      <x:c r="B30" s="8" t="s">
        <x:v>190</x:v>
      </x:c>
      <x:c r="C30" s="17">
        <x:v>1</x:v>
      </x:c>
      <x:c r="D30" s="17">
        <x:v>4</x:v>
      </x:c>
      <x:c r="E30" s="8" t="s">
        <x:v>596</x:v>
      </x:c>
      <x:c r="F30" s="8" t="s">
        <x:v>192</x:v>
      </x:c>
      <x:c r="G30" s="8"/>
      <x:c r="H30" s="17">
        <x:v>0</x:v>
      </x:c>
      <x:c r="I30" s="8" t="s">
        <x:v>597</x:v>
      </x:c>
      <x:c r="J30" s="8" t="s">
        <x:v>594</x:v>
      </x:c>
      <x:c r="K30" s="17">
        <x:v>0</x:v>
      </x:c>
      <x:c r="L30" s="17">
        <x:v>0</x:v>
      </x:c>
      <x:c r="M30" s="8" t="s">
        <x:v>596</x:v>
      </x:c>
      <x:c r="N30" s="17">
        <x:v>1</x:v>
      </x:c>
      <x:c r="O30" s="8" t="s">
        <x:v>609</x:v>
      </x:c>
      <x:c r="P30" s="8" t="s">
        <x:v>631</x:v>
      </x:c>
      <x:c r="Q30" s="8" t="s">
        <x:v>614</x:v>
      </x:c>
      <x:c r="R30" s="8" t="s">
        <x:v>14</x:v>
      </x:c>
      <x:c r="S30" s="8" t="s">
        <x:v>12</x:v>
      </x:c>
      <x:c r="T30" s="8" t="s">
        <x:v>191</x:v>
      </x:c>
      <x:c r="U30" s="8" t="s">
        <x:v>98</x:v>
      </x:c>
      <x:c r="V30" s="8" t="str">
        <x:v>개별 연계 구현 필요</x:v>
      </x:c>
      <x:c r="W30" s="8" t="s">
        <x:v>632</x:v>
      </x:c>
      <x:c r="X30" s="8" t="s">
        <x:v>80</x:v>
      </x:c>
      <x:c r="Y30" s="17">
        <x:v>1</x:v>
      </x:c>
    </x:row>
    <x:row r="31" ht="72" customHeight="1">
      <x:c r="A31" s="8" t="s">
        <x:v>200</x:v>
      </x:c>
      <x:c r="B31" s="8" t="s">
        <x:v>195</x:v>
      </x:c>
      <x:c r="C31" s="17">
        <x:v>1</x:v>
      </x:c>
      <x:c r="D31" s="17">
        <x:v>4</x:v>
      </x:c>
      <x:c r="E31" s="8" t="s">
        <x:v>580</x:v>
      </x:c>
      <x:c r="F31" s="8" t="s">
        <x:v>197</x:v>
      </x:c>
      <x:c r="G31" s="8"/>
      <x:c r="H31" s="17">
        <x:v>0</x:v>
      </x:c>
      <x:c r="I31" s="8" t="s">
        <x:v>581</x:v>
      </x:c>
      <x:c r="J31" s="8" t="s">
        <x:v>582</x:v>
      </x:c>
      <x:c r="K31" s="17">
        <x:v>0</x:v>
      </x:c>
      <x:c r="L31" s="17">
        <x:v>0</x:v>
      </x:c>
      <x:c r="M31" s="8" t="s">
        <x:v>580</x:v>
      </x:c>
      <x:c r="N31" s="17">
        <x:v>2</x:v>
      </x:c>
      <x:c r="O31" s="8" t="s">
        <x:v>601</x:v>
      </x:c>
      <x:c r="P31" s="8" t="s">
        <x:v>633</x:v>
      </x:c>
      <x:c r="Q31" s="8" t="s">
        <x:v>614</x:v>
      </x:c>
      <x:c r="R31" s="8" t="s">
        <x:v>14</x:v>
      </x:c>
      <x:c r="S31" s="8" t="s">
        <x:v>10</x:v>
      </x:c>
      <x:c r="T31" s="8" t="s">
        <x:v>196</x:v>
      </x:c>
      <x:c r="U31" s="8" t="s">
        <x:v>98</x:v>
      </x:c>
      <x:c r="V31" s="8" t="str">
        <x:v>개별 연계 구현 필요</x:v>
      </x:c>
      <x:c r="W31" s="8" t="s">
        <x:v>634</x:v>
      </x:c>
      <x:c r="X31" s="8" t="s">
        <x:v>198</x:v>
      </x:c>
      <x:c r="Y31" s="17">
        <x:v>1</x:v>
      </x:c>
    </x:row>
    <x:row r="32" ht="72" customHeight="1">
      <x:c r="A32" s="8" t="s">
        <x:v>205</x:v>
      </x:c>
      <x:c r="B32" s="8" t="s">
        <x:v>201</x:v>
      </x:c>
      <x:c r="C32" s="17">
        <x:v>1</x:v>
      </x:c>
      <x:c r="D32" s="17">
        <x:v>0</x:v>
      </x:c>
      <x:c r="E32" s="8" t="s">
        <x:v>580</x:v>
      </x:c>
      <x:c r="F32" s="8" t="s">
        <x:v>203</x:v>
      </x:c>
      <x:c r="G32" s="8" t="str">
        <x:v>{"targetMode":"singleEnemy","damageFormula":"attack*0.4+2+2*n","applyEffects":[{"effectId":"effect_v2_burn","target":"enemy","chance":100,"value":1,"durationTurns":0,"stacks":2}]}</x:v>
      </x:c>
      <x:c r="H32" s="17">
        <x:v>1</x:v>
      </x:c>
      <x:c r="I32" s="8" t="s">
        <x:v>581</x:v>
      </x:c>
      <x:c r="J32" s="8" t="s">
        <x:v>582</x:v>
      </x:c>
      <x:c r="K32" s="17">
        <x:v>0</x:v>
      </x:c>
      <x:c r="L32" s="17">
        <x:v>0</x:v>
      </x:c>
      <x:c r="M32" s="8" t="s">
        <x:v>580</x:v>
      </x:c>
      <x:c r="N32" s="17">
        <x:v>1</x:v>
      </x:c>
      <x:c r="O32" s="8" t="s">
        <x:v>583</x:v>
      </x:c>
      <x:c r="P32" s="8" t="s">
        <x:v>635</x:v>
      </x:c>
      <x:c r="Q32" s="8" t="s">
        <x:v>636</x:v>
      </x:c>
      <x:c r="R32" s="8" t="s">
        <x:v>15</x:v>
      </x:c>
      <x:c r="S32" s="8" t="s">
        <x:v>7</x:v>
      </x:c>
      <x:c r="T32" s="8" t="s">
        <x:v>202</x:v>
      </x:c>
      <x:c r="U32" s="8" t="s">
        <x:v>5</x:v>
      </x:c>
      <x:c r="V32" s="8" t="s">
        <x:v>26</x:v>
      </x:c>
      <x:c r="W32" s="8"/>
      <x:c r="X32" s="8" t="s">
        <x:v>204</x:v>
      </x:c>
      <x:c r="Y32" s="17">
        <x:v>1</x:v>
      </x:c>
    </x:row>
    <x:row r="33" ht="72" customHeight="1">
      <x:c r="A33" s="8" t="s">
        <x:v>210</x:v>
      </x:c>
      <x:c r="B33" s="8" t="s">
        <x:v>206</x:v>
      </x:c>
      <x:c r="C33" s="17">
        <x:v>1</x:v>
      </x:c>
      <x:c r="D33" s="17">
        <x:v>1</x:v>
      </x:c>
      <x:c r="E33" s="8" t="s">
        <x:v>580</x:v>
      </x:c>
      <x:c r="F33" s="8" t="s">
        <x:v>208</x:v>
      </x:c>
      <x:c r="G33" s="8" t="s">
        <x:v>637</x:v>
      </x:c>
      <x:c r="H33" s="17">
        <x:v>1</x:v>
      </x:c>
      <x:c r="I33" s="8" t="s">
        <x:v>581</x:v>
      </x:c>
      <x:c r="J33" s="8" t="s">
        <x:v>606</x:v>
      </x:c>
      <x:c r="K33" s="17">
        <x:v>0</x:v>
      </x:c>
      <x:c r="L33" s="17">
        <x:v>0</x:v>
      </x:c>
      <x:c r="M33" s="8" t="s">
        <x:v>580</x:v>
      </x:c>
      <x:c r="N33" s="17">
        <x:v>2</x:v>
      </x:c>
      <x:c r="O33" s="8" t="s">
        <x:v>583</x:v>
      </x:c>
      <x:c r="P33" s="8" t="s">
        <x:v>638</x:v>
      </x:c>
      <x:c r="Q33" s="8" t="s">
        <x:v>636</x:v>
      </x:c>
      <x:c r="R33" s="8" t="s">
        <x:v>15</x:v>
      </x:c>
      <x:c r="S33" s="8" t="s">
        <x:v>7</x:v>
      </x:c>
      <x:c r="T33" s="8" t="s">
        <x:v>207</x:v>
      </x:c>
      <x:c r="U33" s="8" t="s">
        <x:v>5</x:v>
      </x:c>
      <x:c r="V33" s="8" t="s">
        <x:v>26</x:v>
      </x:c>
      <x:c r="W33" s="8"/>
      <x:c r="X33" s="8" t="s">
        <x:v>209</x:v>
      </x:c>
      <x:c r="Y33" s="17">
        <x:v>1</x:v>
      </x:c>
    </x:row>
    <x:row r="34" ht="72" customHeight="1">
      <x:c r="A34" s="8" t="s">
        <x:v>214</x:v>
      </x:c>
      <x:c r="B34" s="8" t="s">
        <x:v>211</x:v>
      </x:c>
      <x:c r="C34" s="17">
        <x:v>1</x:v>
      </x:c>
      <x:c r="D34" s="17">
        <x:v>1</x:v>
      </x:c>
      <x:c r="E34" s="8" t="s">
        <x:v>596</x:v>
      </x:c>
      <x:c r="F34" s="8" t="s">
        <x:v>213</x:v>
      </x:c>
      <x:c r="G34" s="8" t="s">
        <x:v>639</x:v>
      </x:c>
      <x:c r="H34" s="17">
        <x:v>1</x:v>
      </x:c>
      <x:c r="I34" s="8" t="s">
        <x:v>620</x:v>
      </x:c>
      <x:c r="J34" s="8" t="s">
        <x:v>582</x:v>
      </x:c>
      <x:c r="K34" s="17">
        <x:v>0</x:v>
      </x:c>
      <x:c r="L34" s="17">
        <x:v>0</x:v>
      </x:c>
      <x:c r="M34" s="8" t="s">
        <x:v>596</x:v>
      </x:c>
      <x:c r="N34" s="17">
        <x:v>1</x:v>
      </x:c>
      <x:c r="O34" s="8" t="s">
        <x:v>587</x:v>
      </x:c>
      <x:c r="P34" s="8" t="s">
        <x:v>640</x:v>
      </x:c>
      <x:c r="Q34" s="8" t="s">
        <x:v>636</x:v>
      </x:c>
      <x:c r="R34" s="8" t="s">
        <x:v>15</x:v>
      </x:c>
      <x:c r="S34" s="8" t="s">
        <x:v>8</x:v>
      </x:c>
      <x:c r="T34" s="8" t="s">
        <x:v>212</x:v>
      </x:c>
      <x:c r="U34" s="8" t="s">
        <x:v>5</x:v>
      </x:c>
      <x:c r="V34" s="8" t="s">
        <x:v>26</x:v>
      </x:c>
      <x:c r="W34" s="8"/>
      <x:c r="X34" s="8" t="s">
        <x:v>80</x:v>
      </x:c>
      <x:c r="Y34" s="17">
        <x:v>1</x:v>
      </x:c>
    </x:row>
    <x:row r="35" ht="72" customHeight="1">
      <x:c r="A35" s="8" t="s">
        <x:v>220</x:v>
      </x:c>
      <x:c r="B35" s="8" t="s">
        <x:v>215</x:v>
      </x:c>
      <x:c r="C35" s="17">
        <x:v>1</x:v>
      </x:c>
      <x:c r="D35" s="17">
        <x:v>2</x:v>
      </x:c>
      <x:c r="E35" s="8" t="s">
        <x:v>580</x:v>
      </x:c>
      <x:c r="F35" s="8" t="s">
        <x:v>217</x:v>
      </x:c>
      <x:c r="G35" s="8"/>
      <x:c r="H35" s="17">
        <x:v>0</x:v>
      </x:c>
      <x:c r="I35" s="8" t="s">
        <x:v>620</x:v>
      </x:c>
      <x:c r="J35" s="8" t="s">
        <x:v>582</x:v>
      </x:c>
      <x:c r="K35" s="17">
        <x:v>0</x:v>
      </x:c>
      <x:c r="L35" s="17">
        <x:v>0</x:v>
      </x:c>
      <x:c r="M35" s="8" t="s">
        <x:v>580</x:v>
      </x:c>
      <x:c r="N35" s="17">
        <x:v>1</x:v>
      </x:c>
      <x:c r="O35" s="8" t="s">
        <x:v>587</x:v>
      </x:c>
      <x:c r="P35" s="8" t="s">
        <x:v>641</x:v>
      </x:c>
      <x:c r="Q35" s="8" t="s">
        <x:v>636</x:v>
      </x:c>
      <x:c r="R35" s="8" t="s">
        <x:v>15</x:v>
      </x:c>
      <x:c r="S35" s="8" t="s">
        <x:v>8</x:v>
      </x:c>
      <x:c r="T35" s="8" t="s">
        <x:v>216</x:v>
      </x:c>
      <x:c r="U35" s="8" t="s">
        <x:v>5</x:v>
      </x:c>
      <x:c r="V35" s="8" t="str">
        <x:v>개별 연계 구현 필요</x:v>
      </x:c>
      <x:c r="W35" s="8" t="s">
        <x:v>642</x:v>
      </x:c>
      <x:c r="X35" s="8" t="s">
        <x:v>218</x:v>
      </x:c>
      <x:c r="Y35" s="17">
        <x:v>1</x:v>
      </x:c>
    </x:row>
    <x:row r="36" ht="72" customHeight="1">
      <x:c r="A36" s="8" t="s">
        <x:v>225</x:v>
      </x:c>
      <x:c r="B36" s="8" t="s">
        <x:v>221</x:v>
      </x:c>
      <x:c r="C36" s="17">
        <x:v>1</x:v>
      </x:c>
      <x:c r="D36" s="17">
        <x:v>2</x:v>
      </x:c>
      <x:c r="E36" s="8" t="s">
        <x:v>596</x:v>
      </x:c>
      <x:c r="F36" s="8" t="s">
        <x:v>223</x:v>
      </x:c>
      <x:c r="G36" s="8"/>
      <x:c r="H36" s="17">
        <x:v>0</x:v>
      </x:c>
      <x:c r="I36" s="8" t="s">
        <x:v>620</x:v>
      </x:c>
      <x:c r="J36" s="8" t="s">
        <x:v>582</x:v>
      </x:c>
      <x:c r="K36" s="17">
        <x:v>0</x:v>
      </x:c>
      <x:c r="L36" s="17">
        <x:v>0</x:v>
      </x:c>
      <x:c r="M36" s="8" t="s">
        <x:v>596</x:v>
      </x:c>
      <x:c r="N36" s="17">
        <x:v>1</x:v>
      </x:c>
      <x:c r="O36" s="8" t="s">
        <x:v>591</x:v>
      </x:c>
      <x:c r="P36" s="8" t="s">
        <x:v>643</x:v>
      </x:c>
      <x:c r="Q36" s="8" t="s">
        <x:v>636</x:v>
      </x:c>
      <x:c r="R36" s="8" t="s">
        <x:v>15</x:v>
      </x:c>
      <x:c r="S36" s="8" t="s">
        <x:v>9</x:v>
      </x:c>
      <x:c r="T36" s="8" t="s">
        <x:v>222</x:v>
      </x:c>
      <x:c r="U36" s="8" t="s">
        <x:v>5</x:v>
      </x:c>
      <x:c r="V36" s="8" t="str">
        <x:v>개별 연계 구현 필요</x:v>
      </x:c>
      <x:c r="W36" s="8" t="s">
        <x:v>224</x:v>
      </x:c>
      <x:c r="X36" s="8" t="s">
        <x:v>80</x:v>
      </x:c>
      <x:c r="Y36" s="17">
        <x:v>1</x:v>
      </x:c>
    </x:row>
    <x:row r="37" ht="72" customHeight="1">
      <x:c r="A37" s="8" t="s">
        <x:v>231</x:v>
      </x:c>
      <x:c r="B37" s="8" t="s">
        <x:v>226</x:v>
      </x:c>
      <x:c r="C37" s="17">
        <x:v>1</x:v>
      </x:c>
      <x:c r="D37" s="17">
        <x:v>2</x:v>
      </x:c>
      <x:c r="E37" s="8" t="s">
        <x:v>580</x:v>
      </x:c>
      <x:c r="F37" s="8" t="s">
        <x:v>228</x:v>
      </x:c>
      <x:c r="G37" s="8"/>
      <x:c r="H37" s="17">
        <x:v>0</x:v>
      </x:c>
      <x:c r="I37" s="8" t="s">
        <x:v>593</x:v>
      </x:c>
      <x:c r="J37" s="8" t="s">
        <x:v>594</x:v>
      </x:c>
      <x:c r="K37" s="17">
        <x:v>0</x:v>
      </x:c>
      <x:c r="L37" s="17">
        <x:v>0</x:v>
      </x:c>
      <x:c r="M37" s="8" t="s">
        <x:v>580</x:v>
      </x:c>
      <x:c r="N37" s="17">
        <x:v>1</x:v>
      </x:c>
      <x:c r="O37" s="8" t="s">
        <x:v>587</x:v>
      </x:c>
      <x:c r="P37" s="8" t="s">
        <x:v>644</x:v>
      </x:c>
      <x:c r="Q37" s="8" t="s">
        <x:v>636</x:v>
      </x:c>
      <x:c r="R37" s="8" t="s">
        <x:v>15</x:v>
      </x:c>
      <x:c r="S37" s="8" t="s">
        <x:v>8</x:v>
      </x:c>
      <x:c r="T37" s="8" t="s">
        <x:v>227</x:v>
      </x:c>
      <x:c r="U37" s="8" t="s">
        <x:v>5</x:v>
      </x:c>
      <x:c r="V37" s="8" t="str">
        <x:v>개별 연계 구현 필요</x:v>
      </x:c>
      <x:c r="W37" s="8" t="s">
        <x:v>230</x:v>
      </x:c>
      <x:c r="X37" s="8" t="s">
        <x:v>229</x:v>
      </x:c>
      <x:c r="Y37" s="17">
        <x:v>1</x:v>
      </x:c>
    </x:row>
    <x:row r="38" ht="72" customHeight="1">
      <x:c r="A38" s="8" t="s">
        <x:v>237</x:v>
      </x:c>
      <x:c r="B38" s="8" t="s">
        <x:v>232</x:v>
      </x:c>
      <x:c r="C38" s="17">
        <x:v>1</x:v>
      </x:c>
      <x:c r="D38" s="17">
        <x:v>2</x:v>
      </x:c>
      <x:c r="E38" s="8" t="s">
        <x:v>580</x:v>
      </x:c>
      <x:c r="F38" s="8" t="s">
        <x:v>234</x:v>
      </x:c>
      <x:c r="G38" s="8"/>
      <x:c r="H38" s="17">
        <x:v>0</x:v>
      </x:c>
      <x:c r="I38" s="8" t="s">
        <x:v>620</x:v>
      </x:c>
      <x:c r="J38" s="8" t="s">
        <x:v>582</x:v>
      </x:c>
      <x:c r="K38" s="17">
        <x:v>0</x:v>
      </x:c>
      <x:c r="L38" s="17">
        <x:v>0</x:v>
      </x:c>
      <x:c r="M38" s="8" t="s">
        <x:v>580</x:v>
      </x:c>
      <x:c r="N38" s="17">
        <x:v>1</x:v>
      </x:c>
      <x:c r="O38" s="8" t="s">
        <x:v>591</x:v>
      </x:c>
      <x:c r="P38" s="8" t="s">
        <x:v>645</x:v>
      </x:c>
      <x:c r="Q38" s="8" t="s">
        <x:v>636</x:v>
      </x:c>
      <x:c r="R38" s="8" t="s">
        <x:v>15</x:v>
      </x:c>
      <x:c r="S38" s="8" t="s">
        <x:v>9</x:v>
      </x:c>
      <x:c r="T38" s="8" t="s">
        <x:v>233</x:v>
      </x:c>
      <x:c r="U38" s="8" t="s">
        <x:v>5</x:v>
      </x:c>
      <x:c r="V38" s="8" t="str">
        <x:v>개별 연계 구현 필요</x:v>
      </x:c>
      <x:c r="W38" s="8" t="s">
        <x:v>646</x:v>
      </x:c>
      <x:c r="X38" s="8" t="s">
        <x:v>235</x:v>
      </x:c>
      <x:c r="Y38" s="17">
        <x:v>1</x:v>
      </x:c>
    </x:row>
    <x:row r="39" ht="72" customHeight="1">
      <x:c r="A39" s="8" t="s">
        <x:v>243</x:v>
      </x:c>
      <x:c r="B39" s="8" t="s">
        <x:v>238</x:v>
      </x:c>
      <x:c r="C39" s="17">
        <x:v>1</x:v>
      </x:c>
      <x:c r="D39" s="17">
        <x:v>1</x:v>
      </x:c>
      <x:c r="E39" s="8" t="s">
        <x:v>580</x:v>
      </x:c>
      <x:c r="F39" s="8" t="s">
        <x:v>240</x:v>
      </x:c>
      <x:c r="G39" s="8" t="str">
        <x:v>{"targetMode":"singleEnemy","requireCondition":{"targetEffects":["effect_v2_burn"]},"actions":[{"operation":"consumeStacks","effectId":"effect_v2_burn","amount":3},{"operation":"damage","damageKind":"explosion","amountFormula":"enemyMaxHp*consumedStacks*(0.015+0.001*n)"}]}</x:v>
      </x:c>
      <x:c r="H39" s="17" t="n">
        <x:v>1</x:v>
      </x:c>
      <x:c r="I39" s="8" t="s">
        <x:v>581</x:v>
      </x:c>
      <x:c r="J39" s="8" t="s">
        <x:v>582</x:v>
      </x:c>
      <x:c r="K39" s="17">
        <x:v>0</x:v>
      </x:c>
      <x:c r="L39" s="17">
        <x:v>0</x:v>
      </x:c>
      <x:c r="M39" s="8" t="s">
        <x:v>580</x:v>
      </x:c>
      <x:c r="N39" s="17">
        <x:v>1</x:v>
      </x:c>
      <x:c r="O39" s="8" t="s">
        <x:v>583</x:v>
      </x:c>
      <x:c r="P39" s="8" t="s">
        <x:v>647</x:v>
      </x:c>
      <x:c r="Q39" s="8" t="s">
        <x:v>636</x:v>
      </x:c>
      <x:c r="R39" s="8" t="s">
        <x:v>15</x:v>
      </x:c>
      <x:c r="S39" s="8" t="s">
        <x:v>7</x:v>
      </x:c>
      <x:c r="T39" s="8" t="s">
        <x:v>239</x:v>
      </x:c>
      <x:c r="U39" s="8" t="s">
        <x:v>5</x:v>
      </x:c>
      <x:c r="V39" s="8" t="str">
        <x:v>공통 확장 조합</x:v>
      </x:c>
      <x:c r="W39" s="8" t="s">
        <x:v>648</x:v>
      </x:c>
      <x:c r="X39" s="8" t="s">
        <x:v>241</x:v>
      </x:c>
      <x:c r="Y39" s="17">
        <x:v>1</x:v>
      </x:c>
    </x:row>
    <x:row r="40" ht="72" customHeight="1">
      <x:c r="A40" s="8" t="s">
        <x:v>248</x:v>
      </x:c>
      <x:c r="B40" s="8" t="s">
        <x:v>244</x:v>
      </x:c>
      <x:c r="C40" s="17">
        <x:v>1</x:v>
      </x:c>
      <x:c r="D40" s="17">
        <x:v>3</x:v>
      </x:c>
      <x:c r="E40" s="8" t="s">
        <x:v>580</x:v>
      </x:c>
      <x:c r="F40" s="8" t="s">
        <x:v>246</x:v>
      </x:c>
      <x:c r="G40" s="8"/>
      <x:c r="H40" s="17">
        <x:v>0</x:v>
      </x:c>
      <x:c r="I40" s="8" t="s">
        <x:v>581</x:v>
      </x:c>
      <x:c r="J40" s="8" t="s">
        <x:v>582</x:v>
      </x:c>
      <x:c r="K40" s="17">
        <x:v>0</x:v>
      </x:c>
      <x:c r="L40" s="17">
        <x:v>0</x:v>
      </x:c>
      <x:c r="M40" s="8" t="s">
        <x:v>580</x:v>
      </x:c>
      <x:c r="N40" s="17">
        <x:v>2</x:v>
      </x:c>
      <x:c r="O40" s="8" t="s">
        <x:v>601</x:v>
      </x:c>
      <x:c r="P40" s="8" t="s">
        <x:v>649</x:v>
      </x:c>
      <x:c r="Q40" s="8" t="s">
        <x:v>636</x:v>
      </x:c>
      <x:c r="R40" s="8" t="s">
        <x:v>15</x:v>
      </x:c>
      <x:c r="S40" s="8" t="s">
        <x:v>10</x:v>
      </x:c>
      <x:c r="T40" s="8" t="s">
        <x:v>245</x:v>
      </x:c>
      <x:c r="U40" s="8" t="s">
        <x:v>5</x:v>
      </x:c>
      <x:c r="V40" s="8" t="str">
        <x:v>개별 연계 구현 필요</x:v>
      </x:c>
      <x:c r="W40" s="8" t="s">
        <x:v>648</x:v>
      </x:c>
      <x:c r="X40" s="8" t="s">
        <x:v>247</x:v>
      </x:c>
      <x:c r="Y40" s="17">
        <x:v>1</x:v>
      </x:c>
    </x:row>
    <x:row r="41" ht="72" customHeight="1">
      <x:c r="A41" s="8" t="s">
        <x:v>253</x:v>
      </x:c>
      <x:c r="B41" s="8" t="s">
        <x:v>249</x:v>
      </x:c>
      <x:c r="C41" s="17">
        <x:v>1</x:v>
      </x:c>
      <x:c r="D41" s="17">
        <x:v>5</x:v>
      </x:c>
      <x:c r="E41" s="8" t="s">
        <x:v>596</x:v>
      </x:c>
      <x:c r="F41" s="8" t="s">
        <x:v>251</x:v>
      </x:c>
      <x:c r="G41" s="8"/>
      <x:c r="H41" s="17">
        <x:v>0</x:v>
      </x:c>
      <x:c r="I41" s="8" t="s">
        <x:v>597</x:v>
      </x:c>
      <x:c r="J41" s="8" t="s">
        <x:v>594</x:v>
      </x:c>
      <x:c r="K41" s="17">
        <x:v>0</x:v>
      </x:c>
      <x:c r="L41" s="17">
        <x:v>0</x:v>
      </x:c>
      <x:c r="M41" s="8" t="s">
        <x:v>596</x:v>
      </x:c>
      <x:c r="N41" s="17">
        <x:v>1</x:v>
      </x:c>
      <x:c r="O41" s="8" t="s">
        <x:v>603</x:v>
      </x:c>
      <x:c r="P41" s="8" t="s">
        <x:v>650</x:v>
      </x:c>
      <x:c r="Q41" s="8" t="s">
        <x:v>636</x:v>
      </x:c>
      <x:c r="R41" s="8" t="s">
        <x:v>15</x:v>
      </x:c>
      <x:c r="S41" s="8" t="s">
        <x:v>11</x:v>
      </x:c>
      <x:c r="T41" s="8" t="s">
        <x:v>250</x:v>
      </x:c>
      <x:c r="U41" s="8" t="s">
        <x:v>5</x:v>
      </x:c>
      <x:c r="V41" s="8" t="str">
        <x:v>개별 연계 구현 필요</x:v>
      </x:c>
      <x:c r="W41" s="8" t="s">
        <x:v>651</x:v>
      </x:c>
      <x:c r="X41" s="8" t="s">
        <x:v>80</x:v>
      </x:c>
      <x:c r="Y41" s="17">
        <x:v>1</x:v>
      </x:c>
    </x:row>
    <x:row r="42" ht="72" customHeight="1">
      <x:c r="A42" s="8" t="s">
        <x:v>259</x:v>
      </x:c>
      <x:c r="B42" s="8" t="s">
        <x:v>254</x:v>
      </x:c>
      <x:c r="C42" s="17">
        <x:v>1</x:v>
      </x:c>
      <x:c r="D42" s="17">
        <x:v>2</x:v>
      </x:c>
      <x:c r="E42" s="8" t="s">
        <x:v>580</x:v>
      </x:c>
      <x:c r="F42" s="8" t="s">
        <x:v>256</x:v>
      </x:c>
      <x:c r="G42" s="8"/>
      <x:c r="H42" s="17">
        <x:v>0</x:v>
      </x:c>
      <x:c r="I42" s="8" t="s">
        <x:v>620</x:v>
      </x:c>
      <x:c r="J42" s="8" t="s">
        <x:v>582</x:v>
      </x:c>
      <x:c r="K42" s="17">
        <x:v>0</x:v>
      </x:c>
      <x:c r="L42" s="17">
        <x:v>0</x:v>
      </x:c>
      <x:c r="M42" s="8" t="s">
        <x:v>580</x:v>
      </x:c>
      <x:c r="N42" s="17">
        <x:v>1</x:v>
      </x:c>
      <x:c r="O42" s="8" t="s">
        <x:v>587</x:v>
      </x:c>
      <x:c r="P42" s="8" t="s">
        <x:v>652</x:v>
      </x:c>
      <x:c r="Q42" s="8" t="s">
        <x:v>636</x:v>
      </x:c>
      <x:c r="R42" s="8" t="s">
        <x:v>15</x:v>
      </x:c>
      <x:c r="S42" s="8" t="s">
        <x:v>8</x:v>
      </x:c>
      <x:c r="T42" s="8" t="s">
        <x:v>255</x:v>
      </x:c>
      <x:c r="U42" s="8" t="s">
        <x:v>98</x:v>
      </x:c>
      <x:c r="V42" s="8" t="str">
        <x:v>개별 연계 구현 필요</x:v>
      </x:c>
      <x:c r="W42" s="8" t="s">
        <x:v>258</x:v>
      </x:c>
      <x:c r="X42" s="8" t="s">
        <x:v>257</x:v>
      </x:c>
      <x:c r="Y42" s="17">
        <x:v>1</x:v>
      </x:c>
    </x:row>
    <x:row r="43" ht="72" customHeight="1">
      <x:c r="A43" s="8" t="s">
        <x:v>265</x:v>
      </x:c>
      <x:c r="B43" s="8" t="s">
        <x:v>260</x:v>
      </x:c>
      <x:c r="C43" s="17">
        <x:v>3</x:v>
      </x:c>
      <x:c r="D43" s="17">
        <x:v>2</x:v>
      </x:c>
      <x:c r="E43" s="8" t="s">
        <x:v>580</x:v>
      </x:c>
      <x:c r="F43" s="8" t="s">
        <x:v>262</x:v>
      </x:c>
      <x:c r="G43" s="8"/>
      <x:c r="H43" s="17">
        <x:v>0</x:v>
      </x:c>
      <x:c r="I43" s="8" t="s">
        <x:v>581</x:v>
      </x:c>
      <x:c r="J43" s="8" t="s">
        <x:v>590</x:v>
      </x:c>
      <x:c r="K43" s="17">
        <x:v>0</x:v>
      </x:c>
      <x:c r="L43" s="17">
        <x:v>0</x:v>
      </x:c>
      <x:c r="M43" s="8" t="s">
        <x:v>580</x:v>
      </x:c>
      <x:c r="N43" s="17">
        <x:v>2</x:v>
      </x:c>
      <x:c r="O43" s="8" t="s">
        <x:v>591</x:v>
      </x:c>
      <x:c r="P43" s="8" t="s">
        <x:v>653</x:v>
      </x:c>
      <x:c r="Q43" s="8" t="s">
        <x:v>636</x:v>
      </x:c>
      <x:c r="R43" s="8" t="s">
        <x:v>15</x:v>
      </x:c>
      <x:c r="S43" s="8" t="s">
        <x:v>9</x:v>
      </x:c>
      <x:c r="T43" s="8" t="s">
        <x:v>261</x:v>
      </x:c>
      <x:c r="U43" s="8" t="s">
        <x:v>98</x:v>
      </x:c>
      <x:c r="V43" s="8" t="str">
        <x:v>개별 연계 구현 필요</x:v>
      </x:c>
      <x:c r="W43" s="8" t="s">
        <x:v>264</x:v>
      </x:c>
      <x:c r="X43" s="8" t="s">
        <x:v>263</x:v>
      </x:c>
      <x:c r="Y43" s="17">
        <x:v>1</x:v>
      </x:c>
    </x:row>
    <x:row r="44" ht="72" customHeight="1">
      <x:c r="A44" s="8" t="s">
        <x:v>270</x:v>
      </x:c>
      <x:c r="B44" s="8" t="s">
        <x:v>266</x:v>
      </x:c>
      <x:c r="C44" s="17">
        <x:v>1</x:v>
      </x:c>
      <x:c r="D44" s="17">
        <x:v>5</x:v>
      </x:c>
      <x:c r="E44" s="8" t="s">
        <x:v>596</x:v>
      </x:c>
      <x:c r="F44" s="8" t="s">
        <x:v>268</x:v>
      </x:c>
      <x:c r="G44" s="8"/>
      <x:c r="H44" s="17">
        <x:v>0</x:v>
      </x:c>
      <x:c r="I44" s="8" t="s">
        <x:v>597</x:v>
      </x:c>
      <x:c r="J44" s="8" t="s">
        <x:v>594</x:v>
      </x:c>
      <x:c r="K44" s="17">
        <x:v>0</x:v>
      </x:c>
      <x:c r="L44" s="17">
        <x:v>0</x:v>
      </x:c>
      <x:c r="M44" s="8" t="s">
        <x:v>596</x:v>
      </x:c>
      <x:c r="N44" s="17">
        <x:v>2</x:v>
      </x:c>
      <x:c r="O44" s="8" t="s">
        <x:v>609</x:v>
      </x:c>
      <x:c r="P44" s="8" t="s">
        <x:v>654</x:v>
      </x:c>
      <x:c r="Q44" s="8" t="s">
        <x:v>636</x:v>
      </x:c>
      <x:c r="R44" s="8" t="s">
        <x:v>15</x:v>
      </x:c>
      <x:c r="S44" s="8" t="s">
        <x:v>12</x:v>
      </x:c>
      <x:c r="T44" s="8" t="s">
        <x:v>267</x:v>
      </x:c>
      <x:c r="U44" s="8" t="s">
        <x:v>98</x:v>
      </x:c>
      <x:c r="V44" s="8" t="str">
        <x:v>개별 연계 구현 필요</x:v>
      </x:c>
      <x:c r="W44" s="8" t="s">
        <x:v>269</x:v>
      </x:c>
      <x:c r="X44" s="8" t="s">
        <x:v>80</x:v>
      </x:c>
      <x:c r="Y44" s="17">
        <x:v>1</x:v>
      </x:c>
    </x:row>
    <x:row r="45" ht="72" customHeight="1">
      <x:c r="A45" s="8" t="s">
        <x:v>275</x:v>
      </x:c>
      <x:c r="B45" s="8" t="s">
        <x:v>271</x:v>
      </x:c>
      <x:c r="C45" s="17">
        <x:v>1</x:v>
      </x:c>
      <x:c r="D45" s="17">
        <x:v>3</x:v>
      </x:c>
      <x:c r="E45" s="8" t="s">
        <x:v>580</x:v>
      </x:c>
      <x:c r="F45" s="8" t="s">
        <x:v>273</x:v>
      </x:c>
      <x:c r="G45" s="8"/>
      <x:c r="H45" s="17">
        <x:v>0</x:v>
      </x:c>
      <x:c r="I45" s="8" t="s">
        <x:v>593</x:v>
      </x:c>
      <x:c r="J45" s="8" t="s">
        <x:v>594</x:v>
      </x:c>
      <x:c r="K45" s="17">
        <x:v>0</x:v>
      </x:c>
      <x:c r="L45" s="17">
        <x:v>0</x:v>
      </x:c>
      <x:c r="M45" s="8" t="s">
        <x:v>580</x:v>
      </x:c>
      <x:c r="N45" s="17">
        <x:v>1</x:v>
      </x:c>
      <x:c r="O45" s="8" t="s">
        <x:v>591</x:v>
      </x:c>
      <x:c r="P45" s="8" t="s">
        <x:v>655</x:v>
      </x:c>
      <x:c r="Q45" s="8" t="s">
        <x:v>636</x:v>
      </x:c>
      <x:c r="R45" s="8" t="s">
        <x:v>15</x:v>
      </x:c>
      <x:c r="S45" s="8" t="s">
        <x:v>9</x:v>
      </x:c>
      <x:c r="T45" s="8" t="s">
        <x:v>272</x:v>
      </x:c>
      <x:c r="U45" s="8" t="s">
        <x:v>98</x:v>
      </x:c>
      <x:c r="V45" s="8" t="str">
        <x:v>개별 연계 구현 필요</x:v>
      </x:c>
      <x:c r="W45" s="8" t="s">
        <x:v>113</x:v>
      </x:c>
      <x:c r="X45" s="8" t="s">
        <x:v>274</x:v>
      </x:c>
      <x:c r="Y45" s="17">
        <x:v>1</x:v>
      </x:c>
    </x:row>
    <x:row r="46" ht="72" customHeight="1">
      <x:c r="A46" s="8" t="s">
        <x:v>279</x:v>
      </x:c>
      <x:c r="B46" s="8" t="s">
        <x:v>276</x:v>
      </x:c>
      <x:c r="C46" s="17">
        <x:v>1</x:v>
      </x:c>
      <x:c r="D46" s="17">
        <x:v>4</x:v>
      </x:c>
      <x:c r="E46" s="8" t="s">
        <x:v>596</x:v>
      </x:c>
      <x:c r="F46" s="8" t="s">
        <x:v>278</x:v>
      </x:c>
      <x:c r="G46" s="8"/>
      <x:c r="H46" s="17">
        <x:v>0</x:v>
      </x:c>
      <x:c r="I46" s="8" t="s">
        <x:v>597</x:v>
      </x:c>
      <x:c r="J46" s="8" t="s">
        <x:v>594</x:v>
      </x:c>
      <x:c r="K46" s="17">
        <x:v>0</x:v>
      </x:c>
      <x:c r="L46" s="17">
        <x:v>0</x:v>
      </x:c>
      <x:c r="M46" s="8" t="s">
        <x:v>596</x:v>
      </x:c>
      <x:c r="N46" s="17">
        <x:v>1</x:v>
      </x:c>
      <x:c r="O46" s="8" t="s">
        <x:v>601</x:v>
      </x:c>
      <x:c r="P46" s="8" t="s">
        <x:v>656</x:v>
      </x:c>
      <x:c r="Q46" s="8" t="s">
        <x:v>636</x:v>
      </x:c>
      <x:c r="R46" s="8" t="s">
        <x:v>15</x:v>
      </x:c>
      <x:c r="S46" s="8" t="s">
        <x:v>10</x:v>
      </x:c>
      <x:c r="T46" s="8" t="s">
        <x:v>277</x:v>
      </x:c>
      <x:c r="U46" s="8" t="s">
        <x:v>98</x:v>
      </x:c>
      <x:c r="V46" s="8" t="str">
        <x:v>개별 연계 구현 필요</x:v>
      </x:c>
      <x:c r="W46" s="8" t="s">
        <x:v>642</x:v>
      </x:c>
      <x:c r="X46" s="8" t="s">
        <x:v>80</x:v>
      </x:c>
      <x:c r="Y46" s="17">
        <x:v>1</x:v>
      </x:c>
    </x:row>
    <x:row r="47" ht="72" customHeight="1">
      <x:c r="A47" s="8" t="s">
        <x:v>284</x:v>
      </x:c>
      <x:c r="B47" s="8" t="s">
        <x:v>280</x:v>
      </x:c>
      <x:c r="C47" s="17">
        <x:v>1</x:v>
      </x:c>
      <x:c r="D47" s="17">
        <x:v>0</x:v>
      </x:c>
      <x:c r="E47" s="8" t="s">
        <x:v>580</x:v>
      </x:c>
      <x:c r="F47" s="8" t="s">
        <x:v>282</x:v>
      </x:c>
      <x:c r="G47" s="8" t="str">
        <x:v>{"targetMode":"singleEnemy","damageFormula":"attack*0.4+2+2*n","applyEffects":[{"effectId":"effect_v2_chill","target":"enemy","chance":100,"value":1,"stacks":2}]}</x:v>
      </x:c>
      <x:c r="H47" s="17">
        <x:v>1</x:v>
      </x:c>
      <x:c r="I47" s="8" t="s">
        <x:v>581</x:v>
      </x:c>
      <x:c r="J47" s="8" t="s">
        <x:v>582</x:v>
      </x:c>
      <x:c r="K47" s="17">
        <x:v>0</x:v>
      </x:c>
      <x:c r="L47" s="17">
        <x:v>0</x:v>
      </x:c>
      <x:c r="M47" s="8" t="s">
        <x:v>580</x:v>
      </x:c>
      <x:c r="N47" s="17">
        <x:v>1</x:v>
      </x:c>
      <x:c r="O47" s="8" t="s">
        <x:v>583</x:v>
      </x:c>
      <x:c r="P47" s="8" t="s">
        <x:v>657</x:v>
      </x:c>
      <x:c r="Q47" s="8" t="s">
        <x:v>658</x:v>
      </x:c>
      <x:c r="R47" s="8" t="s">
        <x:v>16</x:v>
      </x:c>
      <x:c r="S47" s="8" t="s">
        <x:v>7</x:v>
      </x:c>
      <x:c r="T47" s="8" t="s">
        <x:v>281</x:v>
      </x:c>
      <x:c r="U47" s="8" t="s">
        <x:v>5</x:v>
      </x:c>
      <x:c r="V47" s="8" t="s">
        <x:v>26</x:v>
      </x:c>
      <x:c r="W47" s="8"/>
      <x:c r="X47" s="8" t="s">
        <x:v>283</x:v>
      </x:c>
      <x:c r="Y47" s="17">
        <x:v>1</x:v>
      </x:c>
    </x:row>
    <x:row r="48" ht="72" customHeight="1">
      <x:c r="A48" s="8" t="s">
        <x:v>288</x:v>
      </x:c>
      <x:c r="B48" s="8" t="s">
        <x:v>285</x:v>
      </x:c>
      <x:c r="C48" s="17">
        <x:v>1</x:v>
      </x:c>
      <x:c r="D48" s="17">
        <x:v>1</x:v>
      </x:c>
      <x:c r="E48" s="8" t="s">
        <x:v>596</x:v>
      </x:c>
      <x:c r="F48" s="8" t="s">
        <x:v>287</x:v>
      </x:c>
      <x:c r="G48" s="8" t="s">
        <x:v>659</x:v>
      </x:c>
      <x:c r="H48" s="17">
        <x:v>1</x:v>
      </x:c>
      <x:c r="I48" s="8" t="s">
        <x:v>620</x:v>
      </x:c>
      <x:c r="J48" s="8" t="s">
        <x:v>606</x:v>
      </x:c>
      <x:c r="K48" s="17">
        <x:v>0</x:v>
      </x:c>
      <x:c r="L48" s="17">
        <x:v>0</x:v>
      </x:c>
      <x:c r="M48" s="8" t="s">
        <x:v>596</x:v>
      </x:c>
      <x:c r="N48" s="17">
        <x:v>2</x:v>
      </x:c>
      <x:c r="O48" s="8" t="s">
        <x:v>587</x:v>
      </x:c>
      <x:c r="P48" s="8" t="s">
        <x:v>660</x:v>
      </x:c>
      <x:c r="Q48" s="8" t="s">
        <x:v>658</x:v>
      </x:c>
      <x:c r="R48" s="8" t="s">
        <x:v>16</x:v>
      </x:c>
      <x:c r="S48" s="8" t="s">
        <x:v>8</x:v>
      </x:c>
      <x:c r="T48" s="8" t="s">
        <x:v>286</x:v>
      </x:c>
      <x:c r="U48" s="8" t="s">
        <x:v>5</x:v>
      </x:c>
      <x:c r="V48" s="8" t="s">
        <x:v>26</x:v>
      </x:c>
      <x:c r="W48" s="8"/>
      <x:c r="X48" s="8" t="s">
        <x:v>80</x:v>
      </x:c>
      <x:c r="Y48" s="17">
        <x:v>1</x:v>
      </x:c>
    </x:row>
    <x:row r="49" ht="72" customHeight="1">
      <x:c r="A49" s="8" t="s">
        <x:v>292</x:v>
      </x:c>
      <x:c r="B49" s="8" t="s">
        <x:v>289</x:v>
      </x:c>
      <x:c r="C49" s="17">
        <x:v>1</x:v>
      </x:c>
      <x:c r="D49" s="17">
        <x:v>1</x:v>
      </x:c>
      <x:c r="E49" s="8" t="s">
        <x:v>596</x:v>
      </x:c>
      <x:c r="F49" s="8" t="s">
        <x:v>291</x:v>
      </x:c>
      <x:c r="G49" s="8" t="s">
        <x:v>661</x:v>
      </x:c>
      <x:c r="H49" s="17">
        <x:v>1</x:v>
      </x:c>
      <x:c r="I49" s="8" t="s">
        <x:v>620</x:v>
      </x:c>
      <x:c r="J49" s="8" t="s">
        <x:v>582</x:v>
      </x:c>
      <x:c r="K49" s="17">
        <x:v>0</x:v>
      </x:c>
      <x:c r="L49" s="17">
        <x:v>0</x:v>
      </x:c>
      <x:c r="M49" s="8" t="s">
        <x:v>596</x:v>
      </x:c>
      <x:c r="N49" s="17">
        <x:v>1</x:v>
      </x:c>
      <x:c r="O49" s="8" t="s">
        <x:v>583</x:v>
      </x:c>
      <x:c r="P49" s="8" t="s">
        <x:v>662</x:v>
      </x:c>
      <x:c r="Q49" s="8" t="s">
        <x:v>658</x:v>
      </x:c>
      <x:c r="R49" s="8" t="s">
        <x:v>16</x:v>
      </x:c>
      <x:c r="S49" s="8" t="s">
        <x:v>7</x:v>
      </x:c>
      <x:c r="T49" s="8" t="s">
        <x:v>290</x:v>
      </x:c>
      <x:c r="U49" s="8" t="s">
        <x:v>5</x:v>
      </x:c>
      <x:c r="V49" s="8" t="s">
        <x:v>26</x:v>
      </x:c>
      <x:c r="W49" s="8"/>
      <x:c r="X49" s="8" t="s">
        <x:v>80</x:v>
      </x:c>
      <x:c r="Y49" s="17">
        <x:v>1</x:v>
      </x:c>
    </x:row>
    <x:row r="50" ht="72" customHeight="1">
      <x:c r="A50" s="8" t="s">
        <x:v>296</x:v>
      </x:c>
      <x:c r="B50" s="8" t="s">
        <x:v>293</x:v>
      </x:c>
      <x:c r="C50" s="17">
        <x:v>1</x:v>
      </x:c>
      <x:c r="D50" s="17">
        <x:v>2</x:v>
      </x:c>
      <x:c r="E50" s="8" t="s">
        <x:v>596</x:v>
      </x:c>
      <x:c r="F50" s="8" t="s">
        <x:v>295</x:v>
      </x:c>
      <x:c r="G50" s="8" t="s">
        <x:v>663</x:v>
      </x:c>
      <x:c r="H50" s="17">
        <x:v>1</x:v>
      </x:c>
      <x:c r="I50" s="8" t="s">
        <x:v>620</x:v>
      </x:c>
      <x:c r="J50" s="8" t="s">
        <x:v>606</x:v>
      </x:c>
      <x:c r="K50" s="17">
        <x:v>0</x:v>
      </x:c>
      <x:c r="L50" s="17">
        <x:v>0</x:v>
      </x:c>
      <x:c r="M50" s="8" t="s">
        <x:v>596</x:v>
      </x:c>
      <x:c r="N50" s="17">
        <x:v>2</x:v>
      </x:c>
      <x:c r="O50" s="8" t="s">
        <x:v>587</x:v>
      </x:c>
      <x:c r="P50" s="8" t="s">
        <x:v>664</x:v>
      </x:c>
      <x:c r="Q50" s="8" t="s">
        <x:v>658</x:v>
      </x:c>
      <x:c r="R50" s="8" t="s">
        <x:v>16</x:v>
      </x:c>
      <x:c r="S50" s="8" t="s">
        <x:v>8</x:v>
      </x:c>
      <x:c r="T50" s="8" t="s">
        <x:v>294</x:v>
      </x:c>
      <x:c r="U50" s="8" t="s">
        <x:v>5</x:v>
      </x:c>
      <x:c r="V50" s="8" t="s">
        <x:v>26</x:v>
      </x:c>
      <x:c r="W50" s="8"/>
      <x:c r="X50" s="8" t="s">
        <x:v>80</x:v>
      </x:c>
      <x:c r="Y50" s="17">
        <x:v>1</x:v>
      </x:c>
    </x:row>
    <x:row r="51" ht="72" customHeight="1">
      <x:c r="A51" s="8" t="s">
        <x:v>302</x:v>
      </x:c>
      <x:c r="B51" s="8" t="s">
        <x:v>297</x:v>
      </x:c>
      <x:c r="C51" s="17">
        <x:v>1</x:v>
      </x:c>
      <x:c r="D51" s="17">
        <x:v>3</x:v>
      </x:c>
      <x:c r="E51" s="8" t="s">
        <x:v>580</x:v>
      </x:c>
      <x:c r="F51" s="8" t="s">
        <x:v>299</x:v>
      </x:c>
      <x:c r="G51" s="8" t="str">
        <x:v>{"targetMode":"singleEnemy","damageFormula":"attack*0.6+4+3*n","actions":[{"operation":"applyEffect","effectId":"effect_v2_chill","stacks":2,"target":"enemy"},{"operation":"applyEffect","effectId":"effect_v2_freeze","stacks":1,"target":"enemy","requireStacks":{"effectId":"effect_v2_chill","min":5}}]}</x:v>
      </x:c>
      <x:c r="H51" s="17" t="n">
        <x:v>1</x:v>
      </x:c>
      <x:c r="I51" s="8" t="s">
        <x:v>581</x:v>
      </x:c>
      <x:c r="J51" s="8" t="s">
        <x:v>582</x:v>
      </x:c>
      <x:c r="K51" s="17">
        <x:v>0</x:v>
      </x:c>
      <x:c r="L51" s="17">
        <x:v>0</x:v>
      </x:c>
      <x:c r="M51" s="8" t="s">
        <x:v>580</x:v>
      </x:c>
      <x:c r="N51" s="17">
        <x:v>1</x:v>
      </x:c>
      <x:c r="O51" s="8" t="s">
        <x:v>591</x:v>
      </x:c>
      <x:c r="P51" s="8" t="s">
        <x:v>665</x:v>
      </x:c>
      <x:c r="Q51" s="8" t="s">
        <x:v>658</x:v>
      </x:c>
      <x:c r="R51" s="8" t="s">
        <x:v>16</x:v>
      </x:c>
      <x:c r="S51" s="8" t="s">
        <x:v>9</x:v>
      </x:c>
      <x:c r="T51" s="8" t="s">
        <x:v>298</x:v>
      </x:c>
      <x:c r="U51" s="8" t="s">
        <x:v>5</x:v>
      </x:c>
      <x:c r="V51" s="8" t="str">
        <x:v>공통 확장 조합</x:v>
      </x:c>
      <x:c r="W51" s="8" t="s">
        <x:v>666</x:v>
      </x:c>
      <x:c r="X51" s="8" t="s">
        <x:v>300</x:v>
      </x:c>
      <x:c r="Y51" s="17">
        <x:v>1</x:v>
      </x:c>
    </x:row>
    <x:row r="52" ht="72" customHeight="1">
      <x:c r="A52" s="8" t="s">
        <x:v>307</x:v>
      </x:c>
      <x:c r="B52" s="8" t="s">
        <x:v>303</x:v>
      </x:c>
      <x:c r="C52" s="17">
        <x:v>1</x:v>
      </x:c>
      <x:c r="D52" s="17">
        <x:v>1</x:v>
      </x:c>
      <x:c r="E52" s="8" t="s">
        <x:v>580</x:v>
      </x:c>
      <x:c r="F52" s="8" t="s">
        <x:v>305</x:v>
      </x:c>
      <x:c r="G52" s="8" t="s">
        <x:v>667</x:v>
      </x:c>
      <x:c r="H52" s="17">
        <x:v>1</x:v>
      </x:c>
      <x:c r="I52" s="8" t="s">
        <x:v>593</x:v>
      </x:c>
      <x:c r="J52" s="8" t="s">
        <x:v>594</x:v>
      </x:c>
      <x:c r="K52" s="17">
        <x:v>0</x:v>
      </x:c>
      <x:c r="L52" s="17">
        <x:v>0</x:v>
      </x:c>
      <x:c r="M52" s="8" t="s">
        <x:v>580</x:v>
      </x:c>
      <x:c r="N52" s="17">
        <x:v>1</x:v>
      </x:c>
      <x:c r="O52" s="8" t="s">
        <x:v>583</x:v>
      </x:c>
      <x:c r="P52" s="8" t="s">
        <x:v>668</x:v>
      </x:c>
      <x:c r="Q52" s="8" t="s">
        <x:v>658</x:v>
      </x:c>
      <x:c r="R52" s="8" t="s">
        <x:v>16</x:v>
      </x:c>
      <x:c r="S52" s="8" t="s">
        <x:v>7</x:v>
      </x:c>
      <x:c r="T52" s="8" t="s">
        <x:v>304</x:v>
      </x:c>
      <x:c r="U52" s="8" t="s">
        <x:v>5</x:v>
      </x:c>
      <x:c r="V52" s="8" t="s">
        <x:v>24</x:v>
      </x:c>
      <x:c r="W52" s="8"/>
      <x:c r="X52" s="8" t="s">
        <x:v>306</x:v>
      </x:c>
      <x:c r="Y52" s="17">
        <x:v>1</x:v>
      </x:c>
    </x:row>
    <x:row r="53" ht="72" customHeight="1">
      <x:c r="A53" s="8" t="s">
        <x:v>311</x:v>
      </x:c>
      <x:c r="B53" s="8" t="s">
        <x:v>308</x:v>
      </x:c>
      <x:c r="C53" s="17">
        <x:v>1</x:v>
      </x:c>
      <x:c r="D53" s="17">
        <x:v>3</x:v>
      </x:c>
      <x:c r="E53" s="8" t="s">
        <x:v>580</x:v>
      </x:c>
      <x:c r="F53" s="8" t="s">
        <x:v>310</x:v>
      </x:c>
      <x:c r="G53" s="8"/>
      <x:c r="H53" s="17">
        <x:v>0</x:v>
      </x:c>
      <x:c r="I53" s="8" t="s">
        <x:v>593</x:v>
      </x:c>
      <x:c r="J53" s="8" t="s">
        <x:v>594</x:v>
      </x:c>
      <x:c r="K53" s="17">
        <x:v>0</x:v>
      </x:c>
      <x:c r="L53" s="17">
        <x:v>0</x:v>
      </x:c>
      <x:c r="M53" s="8" t="s">
        <x:v>580</x:v>
      </x:c>
      <x:c r="N53" s="17">
        <x:v>1</x:v>
      </x:c>
      <x:c r="O53" s="8" t="s">
        <x:v>587</x:v>
      </x:c>
      <x:c r="P53" s="8" t="s">
        <x:v>669</x:v>
      </x:c>
      <x:c r="Q53" s="8" t="s">
        <x:v>658</x:v>
      </x:c>
      <x:c r="R53" s="8" t="s">
        <x:v>16</x:v>
      </x:c>
      <x:c r="S53" s="8" t="s">
        <x:v>8</x:v>
      </x:c>
      <x:c r="T53" s="8" t="s">
        <x:v>309</x:v>
      </x:c>
      <x:c r="U53" s="8" t="s">
        <x:v>5</x:v>
      </x:c>
      <x:c r="V53" s="8" t="str">
        <x:v>개별 연계 구현 필요</x:v>
      </x:c>
      <x:c r="W53" s="8" t="s">
        <x:v>113</x:v>
      </x:c>
      <x:c r="X53" s="8" t="s">
        <x:v>274</x:v>
      </x:c>
      <x:c r="Y53" s="17">
        <x:v>1</x:v>
      </x:c>
    </x:row>
    <x:row r="54" ht="72" customHeight="1">
      <x:c r="A54" s="8" t="s">
        <x:v>316</x:v>
      </x:c>
      <x:c r="B54" s="8" t="s">
        <x:v>312</x:v>
      </x:c>
      <x:c r="C54" s="17">
        <x:v>1</x:v>
      </x:c>
      <x:c r="D54" s="17">
        <x:v>3</x:v>
      </x:c>
      <x:c r="E54" s="8" t="s">
        <x:v>596</x:v>
      </x:c>
      <x:c r="F54" s="8" t="s">
        <x:v>314</x:v>
      </x:c>
      <x:c r="G54" s="8" t="str">
        <x:v>{"targetMode":"singleEnemy","actions":[{"operation":"applyEffect","effectId":"effect_v2_chill","stacks":3,"target":"enemy"},{"operation":"applyEffect","effectId":"effect_v2_freeze","stacks":1,"target":"enemy","requireStacks":{"effectId":"effect_v2_chill","min":8}}]}</x:v>
      </x:c>
      <x:c r="H54" s="17" t="n">
        <x:v>1</x:v>
      </x:c>
      <x:c r="I54" s="8" t="s">
        <x:v>620</x:v>
      </x:c>
      <x:c r="J54" s="8" t="s">
        <x:v>582</x:v>
      </x:c>
      <x:c r="K54" s="17">
        <x:v>0</x:v>
      </x:c>
      <x:c r="L54" s="17">
        <x:v>0</x:v>
      </x:c>
      <x:c r="M54" s="8" t="s">
        <x:v>596</x:v>
      </x:c>
      <x:c r="N54" s="17">
        <x:v>1</x:v>
      </x:c>
      <x:c r="O54" s="8" t="s">
        <x:v>591</x:v>
      </x:c>
      <x:c r="P54" s="8" t="s">
        <x:v>670</x:v>
      </x:c>
      <x:c r="Q54" s="8" t="s">
        <x:v>658</x:v>
      </x:c>
      <x:c r="R54" s="8" t="s">
        <x:v>16</x:v>
      </x:c>
      <x:c r="S54" s="8" t="s">
        <x:v>9</x:v>
      </x:c>
      <x:c r="T54" s="8" t="s">
        <x:v>313</x:v>
      </x:c>
      <x:c r="U54" s="8" t="s">
        <x:v>5</x:v>
      </x:c>
      <x:c r="V54" s="8" t="str">
        <x:v>공통 확장 조합</x:v>
      </x:c>
      <x:c r="W54" s="8" t="s">
        <x:v>671</x:v>
      </x:c>
      <x:c r="X54" s="8" t="s">
        <x:v>80</x:v>
      </x:c>
      <x:c r="Y54" s="17">
        <x:v>1</x:v>
      </x:c>
    </x:row>
    <x:row r="55" ht="72" customHeight="1">
      <x:c r="A55" s="8" t="s">
        <x:v>322</x:v>
      </x:c>
      <x:c r="B55" s="8" t="s">
        <x:v>317</x:v>
      </x:c>
      <x:c r="C55" s="17">
        <x:v>1</x:v>
      </x:c>
      <x:c r="D55" s="17">
        <x:v>2</x:v>
      </x:c>
      <x:c r="E55" s="8" t="s">
        <x:v>580</x:v>
      </x:c>
      <x:c r="F55" s="8" t="s">
        <x:v>319</x:v>
      </x:c>
      <x:c r="G55" s="8"/>
      <x:c r="H55" s="17">
        <x:v>0</x:v>
      </x:c>
      <x:c r="I55" s="8" t="s">
        <x:v>581</x:v>
      </x:c>
      <x:c r="J55" s="8" t="s">
        <x:v>582</x:v>
      </x:c>
      <x:c r="K55" s="17">
        <x:v>0</x:v>
      </x:c>
      <x:c r="L55" s="17">
        <x:v>0</x:v>
      </x:c>
      <x:c r="M55" s="8" t="s">
        <x:v>580</x:v>
      </x:c>
      <x:c r="N55" s="17">
        <x:v>1</x:v>
      </x:c>
      <x:c r="O55" s="8" t="s">
        <x:v>591</x:v>
      </x:c>
      <x:c r="P55" s="8" t="s">
        <x:v>672</x:v>
      </x:c>
      <x:c r="Q55" s="8" t="s">
        <x:v>658</x:v>
      </x:c>
      <x:c r="R55" s="8" t="s">
        <x:v>16</x:v>
      </x:c>
      <x:c r="S55" s="8" t="s">
        <x:v>9</x:v>
      </x:c>
      <x:c r="T55" s="8" t="s">
        <x:v>318</x:v>
      </x:c>
      <x:c r="U55" s="8" t="s">
        <x:v>5</x:v>
      </x:c>
      <x:c r="V55" s="8" t="str">
        <x:v>개별 연계 구현 필요</x:v>
      </x:c>
      <x:c r="W55" s="8" t="s">
        <x:v>321</x:v>
      </x:c>
      <x:c r="X55" s="8" t="s">
        <x:v>320</x:v>
      </x:c>
      <x:c r="Y55" s="17">
        <x:v>1</x:v>
      </x:c>
    </x:row>
    <x:row r="56" ht="72" customHeight="1">
      <x:c r="A56" s="8" t="s">
        <x:v>327</x:v>
      </x:c>
      <x:c r="B56" s="8" t="s">
        <x:v>323</x:v>
      </x:c>
      <x:c r="C56" s="17">
        <x:v>1</x:v>
      </x:c>
      <x:c r="D56" s="17">
        <x:v>3</x:v>
      </x:c>
      <x:c r="E56" s="8" t="s">
        <x:v>596</x:v>
      </x:c>
      <x:c r="F56" s="8" t="s">
        <x:v>325</x:v>
      </x:c>
      <x:c r="G56" s="8"/>
      <x:c r="H56" s="17">
        <x:v>0</x:v>
      </x:c>
      <x:c r="I56" s="8" t="s">
        <x:v>620</x:v>
      </x:c>
      <x:c r="J56" s="8" t="s">
        <x:v>606</x:v>
      </x:c>
      <x:c r="K56" s="17">
        <x:v>0</x:v>
      </x:c>
      <x:c r="L56" s="17">
        <x:v>0</x:v>
      </x:c>
      <x:c r="M56" s="8" t="s">
        <x:v>596</x:v>
      </x:c>
      <x:c r="N56" s="17">
        <x:v>2</x:v>
      </x:c>
      <x:c r="O56" s="8" t="s">
        <x:v>601</x:v>
      </x:c>
      <x:c r="P56" s="8" t="s">
        <x:v>673</x:v>
      </x:c>
      <x:c r="Q56" s="8" t="s">
        <x:v>658</x:v>
      </x:c>
      <x:c r="R56" s="8" t="s">
        <x:v>16</x:v>
      </x:c>
      <x:c r="S56" s="8" t="s">
        <x:v>10</x:v>
      </x:c>
      <x:c r="T56" s="8" t="s">
        <x:v>324</x:v>
      </x:c>
      <x:c r="U56" s="8" t="s">
        <x:v>5</x:v>
      </x:c>
      <x:c r="V56" s="8" t="str">
        <x:v>개별 연계 구현 필요</x:v>
      </x:c>
      <x:c r="W56" s="8" t="s">
        <x:v>674</x:v>
      </x:c>
      <x:c r="X56" s="8" t="s">
        <x:v>80</x:v>
      </x:c>
      <x:c r="Y56" s="17">
        <x:v>1</x:v>
      </x:c>
    </x:row>
    <x:row r="57" ht="72" customHeight="1">
      <x:c r="A57" s="8" t="s">
        <x:v>331</x:v>
      </x:c>
      <x:c r="B57" s="8" t="s">
        <x:v>328</x:v>
      </x:c>
      <x:c r="C57" s="17">
        <x:v>1</x:v>
      </x:c>
      <x:c r="D57" s="17">
        <x:v>2</x:v>
      </x:c>
      <x:c r="E57" s="8" t="s">
        <x:v>580</x:v>
      </x:c>
      <x:c r="F57" s="8" t="s">
        <x:v>330</x:v>
      </x:c>
      <x:c r="G57" s="8"/>
      <x:c r="H57" s="17">
        <x:v>0</x:v>
      </x:c>
      <x:c r="I57" s="8" t="s">
        <x:v>593</x:v>
      </x:c>
      <x:c r="J57" s="8" t="s">
        <x:v>594</x:v>
      </x:c>
      <x:c r="K57" s="17">
        <x:v>0</x:v>
      </x:c>
      <x:c r="L57" s="17">
        <x:v>0</x:v>
      </x:c>
      <x:c r="M57" s="8" t="s">
        <x:v>580</x:v>
      </x:c>
      <x:c r="N57" s="17">
        <x:v>1</x:v>
      </x:c>
      <x:c r="O57" s="8" t="s">
        <x:v>587</x:v>
      </x:c>
      <x:c r="P57" s="8" t="s">
        <x:v>675</x:v>
      </x:c>
      <x:c r="Q57" s="8" t="s">
        <x:v>658</x:v>
      </x:c>
      <x:c r="R57" s="8" t="s">
        <x:v>16</x:v>
      </x:c>
      <x:c r="S57" s="8" t="s">
        <x:v>8</x:v>
      </x:c>
      <x:c r="T57" s="8" t="s">
        <x:v>329</x:v>
      </x:c>
      <x:c r="U57" s="8" t="s">
        <x:v>98</x:v>
      </x:c>
      <x:c r="V57" s="8" t="str">
        <x:v>개별 연계 구현 필요</x:v>
      </x:c>
      <x:c r="W57" s="8" t="s">
        <x:v>87</x:v>
      </x:c>
      <x:c r="X57" s="8" t="s">
        <x:v>274</x:v>
      </x:c>
      <x:c r="Y57" s="17">
        <x:v>1</x:v>
      </x:c>
    </x:row>
    <x:row r="58" ht="72" customHeight="1">
      <x:c r="A58" s="8" t="s">
        <x:v>336</x:v>
      </x:c>
      <x:c r="B58" s="8" t="s">
        <x:v>332</x:v>
      </x:c>
      <x:c r="C58" s="17">
        <x:v>1</x:v>
      </x:c>
      <x:c r="D58" s="17">
        <x:v>3</x:v>
      </x:c>
      <x:c r="E58" s="8" t="s">
        <x:v>580</x:v>
      </x:c>
      <x:c r="F58" s="8" t="str">
        <x:v>방어력의 160%+16의 방어막을 얻고 적 전체에게 냉기 2스택을 부여한다. 냉기만으로 자동 빙결되지는 않는다.</x:v>
      </x:c>
      <x:c r="G58" s="8" t="str">
        <x:v>{"targetMode":"self","shieldFormula":"defense*1.6+16+5*n","applyEffects":[{"effectId":"effect_v2_chill","target":"allEnemies","chance":100,"value":1,"stacks":2}]}</x:v>
      </x:c>
      <x:c r="H58" s="17">
        <x:v>1</x:v>
      </x:c>
      <x:c r="I58" s="8" t="s">
        <x:v>593</x:v>
      </x:c>
      <x:c r="J58" s="8" t="s">
        <x:v>594</x:v>
      </x:c>
      <x:c r="K58" s="17">
        <x:v>0</x:v>
      </x:c>
      <x:c r="L58" s="17">
        <x:v>0</x:v>
      </x:c>
      <x:c r="M58" s="8" t="s">
        <x:v>580</x:v>
      </x:c>
      <x:c r="N58" s="17">
        <x:v>2</x:v>
      </x:c>
      <x:c r="O58" s="8" t="s">
        <x:v>591</x:v>
      </x:c>
      <x:c r="P58" s="8" t="s">
        <x:v>676</x:v>
      </x:c>
      <x:c r="Q58" s="8" t="s">
        <x:v>658</x:v>
      </x:c>
      <x:c r="R58" s="8" t="s">
        <x:v>16</x:v>
      </x:c>
      <x:c r="S58" s="8" t="s">
        <x:v>9</x:v>
      </x:c>
      <x:c r="T58" s="8" t="s">
        <x:v>333</x:v>
      </x:c>
      <x:c r="U58" s="8" t="s">
        <x:v>98</x:v>
      </x:c>
      <x:c r="V58" s="8" t="s">
        <x:v>26</x:v>
      </x:c>
      <x:c r="W58" s="8"/>
      <x:c r="X58" s="8" t="s">
        <x:v>335</x:v>
      </x:c>
      <x:c r="Y58" s="17">
        <x:v>1</x:v>
      </x:c>
    </x:row>
    <x:row r="59" ht="88" customHeight="1">
      <x:c r="A59" s="8" t="s">
        <x:v>340</x:v>
      </x:c>
      <x:c r="B59" s="8" t="s">
        <x:v>337</x:v>
      </x:c>
      <x:c r="C59" s="17">
        <x:v>1</x:v>
      </x:c>
      <x:c r="D59" s="17">
        <x:v>5</x:v>
      </x:c>
      <x:c r="E59" s="8" t="s">
        <x:v>580</x:v>
      </x:c>
      <x:c r="F59" s="8" t="str">
        <x:v>방어력의 300%+40의 방어막을 얻고 자기 빙결된다. 즉시 남은 행동을 못 하고 다음 자신의 턴 1회를 건너뛴다. 그다음 자신의 턴 시작에 해제되며 잃은 체력의 20%를 회복한다. 방어막은 자기 빙결 중 유지되며 피격으로 풀리지 않는다.</x:v>
      </x:c>
      <x:c r="G59" s="8" t="str">
        <x:v>{"targetMode":"self","actions":[{"operation":"applyEffect","effectId":"effect_v2_self_freeze_guard","stacks":1,"target":"self","valueFormula":"20+5*n"},{"operation":"shield","target":"self","amountFormula":"(defense*3+40+6*n)*efficiency","retainEffectId":"effect_v2_self_freeze_guard"}]}</x:v>
      </x:c>
      <x:c r="H59" s="17" t="n">
        <x:v>1</x:v>
      </x:c>
      <x:c r="I59" s="8" t="s">
        <x:v>593</x:v>
      </x:c>
      <x:c r="J59" s="8" t="s">
        <x:v>594</x:v>
      </x:c>
      <x:c r="K59" s="17">
        <x:v>0</x:v>
      </x:c>
      <x:c r="L59" s="17">
        <x:v>0</x:v>
      </x:c>
      <x:c r="M59" s="8" t="s">
        <x:v>580</x:v>
      </x:c>
      <x:c r="N59" s="17">
        <x:v>2</x:v>
      </x:c>
      <x:c r="O59" s="8" t="s">
        <x:v>601</x:v>
      </x:c>
      <x:c r="P59" s="8" t="str">
        <x:v>["frost","shield","자기 빙결·방어막/회복"]</x:v>
      </x:c>
      <x:c r="Q59" s="8" t="s">
        <x:v>658</x:v>
      </x:c>
      <x:c r="R59" s="8" t="s">
        <x:v>16</x:v>
      </x:c>
      <x:c r="S59" s="8" t="s">
        <x:v>10</x:v>
      </x:c>
      <x:c r="T59" s="8" t="str">
        <x:v>자기 빙결·방어막/회복</x:v>
      </x:c>
      <x:c r="U59" s="8" t="s">
        <x:v>98</x:v>
      </x:c>
      <x:c r="V59" s="8" t="str">
        <x:v>공통 확장 조합</x:v>
      </x:c>
      <x:c r="W59" s="8" t="s">
        <x:v>677</x:v>
      </x:c>
      <x:c r="X59" s="8" t="str">
        <x:v>레벨당 방어막 +6. 자연 해제 시 잃은 체력 회복률 +5%p(20%부터, 최대 100%).</x:v>
      </x:c>
      <x:c r="Y59" s="17">
        <x:v>1</x:v>
      </x:c>
    </x:row>
    <x:row r="60" ht="88" customHeight="1">
      <x:c r="A60" s="8" t="s">
        <x:v>345</x:v>
      </x:c>
      <x:c r="B60" s="8" t="s">
        <x:v>341</x:v>
      </x:c>
      <x:c r="C60" s="17">
        <x:v>1</x:v>
      </x:c>
      <x:c r="D60" s="17">
        <x:v>6</x:v>
      </x:c>
      <x:c r="E60" s="8" t="s">
        <x:v>678</x:v>
      </x:c>
      <x:c r="F60" s="8" t="s">
        <x:v>343</x:v>
      </x:c>
      <x:c r="G60" s="8" t="str">
        <x:v>{"targetMode":"self","actions":[{"operation":"applyEffect","effectId":"effect_v2_self_freeze_immune","stacks":1,"target":"self"}]}</x:v>
      </x:c>
      <x:c r="H60" s="17" t="n">
        <x:v>1</x:v>
      </x:c>
      <x:c r="I60" s="8" t="s">
        <x:v>597</x:v>
      </x:c>
      <x:c r="J60" s="8" t="s">
        <x:v>594</x:v>
      </x:c>
      <x:c r="K60" s="17">
        <x:v>0</x:v>
      </x:c>
      <x:c r="L60" s="17">
        <x:v>0</x:v>
      </x:c>
      <x:c r="M60" s="8" t="s">
        <x:v>596</x:v>
      </x:c>
      <x:c r="N60" s="17">
        <x:v>2</x:v>
      </x:c>
      <x:c r="O60" s="8" t="s">
        <x:v>609</x:v>
      </x:c>
      <x:c r="P60" s="8" t="s">
        <x:v>679</x:v>
      </x:c>
      <x:c r="Q60" s="8" t="s">
        <x:v>658</x:v>
      </x:c>
      <x:c r="R60" s="8" t="s">
        <x:v>16</x:v>
      </x:c>
      <x:c r="S60" s="8" t="s">
        <x:v>12</x:v>
      </x:c>
      <x:c r="T60" s="8" t="s">
        <x:v>342</x:v>
      </x:c>
      <x:c r="U60" s="8" t="s">
        <x:v>98</x:v>
      </x:c>
      <x:c r="V60" s="8" t="str">
        <x:v>공통 확장 조합</x:v>
      </x:c>
      <x:c r="W60" s="8" t="s">
        <x:v>680</x:v>
      </x:c>
      <x:c r="X60" s="8" t="s">
        <x:v>80</x:v>
      </x:c>
      <x:c r="Y60" s="17">
        <x:v>1</x:v>
      </x:c>
    </x:row>
    <x:row r="61" ht="72" customHeight="1">
      <x:c r="A61" s="8" t="s">
        <x:v>350</x:v>
      </x:c>
      <x:c r="B61" s="8" t="s">
        <x:v>346</x:v>
      </x:c>
      <x:c r="C61" s="17">
        <x:v>1</x:v>
      </x:c>
      <x:c r="D61" s="17">
        <x:v>6</x:v>
      </x:c>
      <x:c r="E61" s="8" t="s">
        <x:v>611</x:v>
      </x:c>
      <x:c r="F61" s="8" t="s">
        <x:v>348</x:v>
      </x:c>
      <x:c r="G61" s="8" t="str">
        <x:v>{"targetMode":"allEnemies","shieldFormula":"defense+15+4*n","actions":[{"operation":"applyEffect","effectId":"effect_v2_chill","stacks":4,"target":"allEnemies"},{"operation":"applyEffect","effectId":"effect_v2_freeze","stacks":1,"target":"allEnemies","requireStacks":{"effectId":"effect_v2_chill","min":8}}]}</x:v>
      </x:c>
      <x:c r="H61" s="17" t="n">
        <x:v>1</x:v>
      </x:c>
      <x:c r="I61" s="8" t="s">
        <x:v>620</x:v>
      </x:c>
      <x:c r="J61" s="8" t="s">
        <x:v>606</x:v>
      </x:c>
      <x:c r="K61" s="17">
        <x:v>0</x:v>
      </x:c>
      <x:c r="L61" s="17">
        <x:v>0</x:v>
      </x:c>
      <x:c r="M61" s="8" t="s">
        <x:v>580</x:v>
      </x:c>
      <x:c r="N61" s="17">
        <x:v>3</x:v>
      </x:c>
      <x:c r="O61" s="8" t="s">
        <x:v>603</x:v>
      </x:c>
      <x:c r="P61" s="8" t="s">
        <x:v>681</x:v>
      </x:c>
      <x:c r="Q61" s="8" t="s">
        <x:v>658</x:v>
      </x:c>
      <x:c r="R61" s="8" t="s">
        <x:v>16</x:v>
      </x:c>
      <x:c r="S61" s="8" t="s">
        <x:v>11</x:v>
      </x:c>
      <x:c r="T61" s="8" t="s">
        <x:v>347</x:v>
      </x:c>
      <x:c r="U61" s="8" t="s">
        <x:v>98</x:v>
      </x:c>
      <x:c r="V61" s="8" t="str">
        <x:v>공통 확장 조합</x:v>
      </x:c>
      <x:c r="W61" s="8" t="s">
        <x:v>671</x:v>
      </x:c>
      <x:c r="X61" s="8" t="s">
        <x:v>349</x:v>
      </x:c>
      <x:c r="Y61" s="17">
        <x:v>1</x:v>
      </x:c>
    </x:row>
    <x:row r="62" ht="72" customHeight="1">
      <x:c r="A62" s="8" t="s">
        <x:v>355</x:v>
      </x:c>
      <x:c r="B62" s="8" t="s">
        <x:v>351</x:v>
      </x:c>
      <x:c r="C62" s="17">
        <x:v>1</x:v>
      </x:c>
      <x:c r="D62" s="17">
        <x:v>0</x:v>
      </x:c>
      <x:c r="E62" s="8" t="s">
        <x:v>580</x:v>
      </x:c>
      <x:c r="F62" s="8" t="s">
        <x:v>353</x:v>
      </x:c>
      <x:c r="G62" s="8" t="s">
        <x:v>682</x:v>
      </x:c>
      <x:c r="H62" s="17">
        <x:v>1</x:v>
      </x:c>
      <x:c r="I62" s="8" t="s">
        <x:v>581</x:v>
      </x:c>
      <x:c r="J62" s="8" t="s">
        <x:v>582</x:v>
      </x:c>
      <x:c r="K62" s="17">
        <x:v>0</x:v>
      </x:c>
      <x:c r="L62" s="17">
        <x:v>0</x:v>
      </x:c>
      <x:c r="M62" s="8" t="s">
        <x:v>580</x:v>
      </x:c>
      <x:c r="N62" s="17">
        <x:v>1</x:v>
      </x:c>
      <x:c r="O62" s="8" t="s">
        <x:v>583</x:v>
      </x:c>
      <x:c r="P62" s="8" t="s">
        <x:v>683</x:v>
      </x:c>
      <x:c r="Q62" s="8" t="s">
        <x:v>658</x:v>
      </x:c>
      <x:c r="R62" s="8" t="s">
        <x:v>17</x:v>
      </x:c>
      <x:c r="S62" s="8" t="s">
        <x:v>7</x:v>
      </x:c>
      <x:c r="T62" s="8" t="s">
        <x:v>352</x:v>
      </x:c>
      <x:c r="U62" s="8" t="s">
        <x:v>5</x:v>
      </x:c>
      <x:c r="V62" s="8" t="s">
        <x:v>26</x:v>
      </x:c>
      <x:c r="W62" s="8"/>
      <x:c r="X62" s="8" t="s">
        <x:v>354</x:v>
      </x:c>
      <x:c r="Y62" s="17">
        <x:v>1</x:v>
      </x:c>
    </x:row>
    <x:row r="63" ht="72" customHeight="1">
      <x:c r="A63" s="8" t="s">
        <x:v>358</x:v>
      </x:c>
      <x:c r="B63" s="8" t="s">
        <x:v>356</x:v>
      </x:c>
      <x:c r="C63" s="17">
        <x:v>1</x:v>
      </x:c>
      <x:c r="D63" s="17">
        <x:v>1</x:v>
      </x:c>
      <x:c r="E63" s="8" t="s">
        <x:v>596</x:v>
      </x:c>
      <x:c r="F63" s="8" t="s">
        <x:v>357</x:v>
      </x:c>
      <x:c r="G63" s="8" t="s">
        <x:v>684</x:v>
      </x:c>
      <x:c r="H63" s="17">
        <x:v>1</x:v>
      </x:c>
      <x:c r="I63" s="8" t="s">
        <x:v>620</x:v>
      </x:c>
      <x:c r="J63" s="8" t="s">
        <x:v>582</x:v>
      </x:c>
      <x:c r="K63" s="17">
        <x:v>0</x:v>
      </x:c>
      <x:c r="L63" s="17">
        <x:v>0</x:v>
      </x:c>
      <x:c r="M63" s="8" t="s">
        <x:v>596</x:v>
      </x:c>
      <x:c r="N63" s="17">
        <x:v>1</x:v>
      </x:c>
      <x:c r="O63" s="8" t="s">
        <x:v>587</x:v>
      </x:c>
      <x:c r="P63" s="8" t="s">
        <x:v>685</x:v>
      </x:c>
      <x:c r="Q63" s="8" t="s">
        <x:v>658</x:v>
      </x:c>
      <x:c r="R63" s="8" t="s">
        <x:v>17</x:v>
      </x:c>
      <x:c r="S63" s="8" t="s">
        <x:v>8</x:v>
      </x:c>
      <x:c r="T63" s="8" t="s">
        <x:v>212</x:v>
      </x:c>
      <x:c r="U63" s="8" t="s">
        <x:v>5</x:v>
      </x:c>
      <x:c r="V63" s="8" t="s">
        <x:v>26</x:v>
      </x:c>
      <x:c r="W63" s="8"/>
      <x:c r="X63" s="8" t="s">
        <x:v>80</x:v>
      </x:c>
      <x:c r="Y63" s="17">
        <x:v>1</x:v>
      </x:c>
    </x:row>
    <x:row r="64" ht="72" customHeight="1">
      <x:c r="A64" s="8" t="s">
        <x:v>361</x:v>
      </x:c>
      <x:c r="B64" s="8" t="s">
        <x:v>359</x:v>
      </x:c>
      <x:c r="C64" s="17">
        <x:v>1</x:v>
      </x:c>
      <x:c r="D64" s="17">
        <x:v>2</x:v>
      </x:c>
      <x:c r="E64" s="8" t="s">
        <x:v>596</x:v>
      </x:c>
      <x:c r="F64" s="8" t="s">
        <x:v>360</x:v>
      </x:c>
      <x:c r="G64" s="8" t="s">
        <x:v>686</x:v>
      </x:c>
      <x:c r="H64" s="17">
        <x:v>1</x:v>
      </x:c>
      <x:c r="I64" s="8" t="s">
        <x:v>620</x:v>
      </x:c>
      <x:c r="J64" s="8" t="s">
        <x:v>606</x:v>
      </x:c>
      <x:c r="K64" s="17">
        <x:v>0</x:v>
      </x:c>
      <x:c r="L64" s="17">
        <x:v>0</x:v>
      </x:c>
      <x:c r="M64" s="8" t="s">
        <x:v>596</x:v>
      </x:c>
      <x:c r="N64" s="17">
        <x:v>2</x:v>
      </x:c>
      <x:c r="O64" s="8" t="s">
        <x:v>583</x:v>
      </x:c>
      <x:c r="P64" s="8" t="s">
        <x:v>687</x:v>
      </x:c>
      <x:c r="Q64" s="8" t="s">
        <x:v>658</x:v>
      </x:c>
      <x:c r="R64" s="8" t="s">
        <x:v>17</x:v>
      </x:c>
      <x:c r="S64" s="8" t="s">
        <x:v>7</x:v>
      </x:c>
      <x:c r="T64" s="8" t="s">
        <x:v>207</x:v>
      </x:c>
      <x:c r="U64" s="8" t="s">
        <x:v>5</x:v>
      </x:c>
      <x:c r="V64" s="8" t="s">
        <x:v>26</x:v>
      </x:c>
      <x:c r="W64" s="8"/>
      <x:c r="X64" s="8" t="s">
        <x:v>80</x:v>
      </x:c>
      <x:c r="Y64" s="17">
        <x:v>1</x:v>
      </x:c>
    </x:row>
    <x:row r="65" ht="72" customHeight="1">
      <x:c r="A65" s="8" t="s">
        <x:v>366</x:v>
      </x:c>
      <x:c r="B65" s="8" t="s">
        <x:v>362</x:v>
      </x:c>
      <x:c r="C65" s="17">
        <x:v>1</x:v>
      </x:c>
      <x:c r="D65" s="17">
        <x:v>1</x:v>
      </x:c>
      <x:c r="E65" s="8" t="s">
        <x:v>596</x:v>
      </x:c>
      <x:c r="F65" s="8" t="s">
        <x:v>364</x:v>
      </x:c>
      <x:c r="G65" s="8"/>
      <x:c r="H65" s="17">
        <x:v>0</x:v>
      </x:c>
      <x:c r="I65" s="8" t="s">
        <x:v>620</x:v>
      </x:c>
      <x:c r="J65" s="8" t="s">
        <x:v>582</x:v>
      </x:c>
      <x:c r="K65" s="17">
        <x:v>0</x:v>
      </x:c>
      <x:c r="L65" s="17">
        <x:v>0</x:v>
      </x:c>
      <x:c r="M65" s="8" t="s">
        <x:v>596</x:v>
      </x:c>
      <x:c r="N65" s="17">
        <x:v>1</x:v>
      </x:c>
      <x:c r="O65" s="8" t="s">
        <x:v>587</x:v>
      </x:c>
      <x:c r="P65" s="8" t="s">
        <x:v>688</x:v>
      </x:c>
      <x:c r="Q65" s="8" t="s">
        <x:v>658</x:v>
      </x:c>
      <x:c r="R65" s="8" t="s">
        <x:v>17</x:v>
      </x:c>
      <x:c r="S65" s="8" t="s">
        <x:v>8</x:v>
      </x:c>
      <x:c r="T65" s="8" t="s">
        <x:v>363</x:v>
      </x:c>
      <x:c r="U65" s="8" t="s">
        <x:v>5</x:v>
      </x:c>
      <x:c r="V65" s="8" t="str">
        <x:v>개별 연계 구현 필요</x:v>
      </x:c>
      <x:c r="W65" s="8" t="s">
        <x:v>365</x:v>
      </x:c>
      <x:c r="X65" s="8" t="s">
        <x:v>80</x:v>
      </x:c>
      <x:c r="Y65" s="17">
        <x:v>1</x:v>
      </x:c>
    </x:row>
    <x:row r="66" ht="72" customHeight="1">
      <x:c r="A66" s="8" t="s">
        <x:v>371</x:v>
      </x:c>
      <x:c r="B66" s="8" t="s">
        <x:v>367</x:v>
      </x:c>
      <x:c r="C66" s="17">
        <x:v>1</x:v>
      </x:c>
      <x:c r="D66" s="17">
        <x:v>2</x:v>
      </x:c>
      <x:c r="E66" s="8" t="s">
        <x:v>596</x:v>
      </x:c>
      <x:c r="F66" s="8" t="s">
        <x:v>369</x:v>
      </x:c>
      <x:c r="G66" s="8"/>
      <x:c r="H66" s="17">
        <x:v>0</x:v>
      </x:c>
      <x:c r="I66" s="8" t="s">
        <x:v>620</x:v>
      </x:c>
      <x:c r="J66" s="8" t="s">
        <x:v>582</x:v>
      </x:c>
      <x:c r="K66" s="17">
        <x:v>0</x:v>
      </x:c>
      <x:c r="L66" s="17">
        <x:v>0</x:v>
      </x:c>
      <x:c r="M66" s="8" t="s">
        <x:v>596</x:v>
      </x:c>
      <x:c r="N66" s="17">
        <x:v>1</x:v>
      </x:c>
      <x:c r="O66" s="8" t="s">
        <x:v>591</x:v>
      </x:c>
      <x:c r="P66" s="8" t="s">
        <x:v>689</x:v>
      </x:c>
      <x:c r="Q66" s="8" t="s">
        <x:v>658</x:v>
      </x:c>
      <x:c r="R66" s="8" t="s">
        <x:v>17</x:v>
      </x:c>
      <x:c r="S66" s="8" t="s">
        <x:v>9</x:v>
      </x:c>
      <x:c r="T66" s="8" t="s">
        <x:v>368</x:v>
      </x:c>
      <x:c r="U66" s="8" t="s">
        <x:v>5</x:v>
      </x:c>
      <x:c r="V66" s="8" t="str">
        <x:v>개별 연계 구현 필요</x:v>
      </x:c>
      <x:c r="W66" s="8" t="s">
        <x:v>690</x:v>
      </x:c>
      <x:c r="X66" s="8" t="s">
        <x:v>80</x:v>
      </x:c>
      <x:c r="Y66" s="17">
        <x:v>1</x:v>
      </x:c>
    </x:row>
    <x:row r="67" ht="72" customHeight="1">
      <x:c r="A67" s="8" t="s">
        <x:v>375</x:v>
      </x:c>
      <x:c r="B67" s="8" t="s">
        <x:v>372</x:v>
      </x:c>
      <x:c r="C67" s="17">
        <x:v>1</x:v>
      </x:c>
      <x:c r="D67" s="17">
        <x:v>2</x:v>
      </x:c>
      <x:c r="E67" s="8" t="s">
        <x:v>596</x:v>
      </x:c>
      <x:c r="F67" s="8" t="s">
        <x:v>374</x:v>
      </x:c>
      <x:c r="G67" s="8"/>
      <x:c r="H67" s="17">
        <x:v>0</x:v>
      </x:c>
      <x:c r="I67" s="8" t="s">
        <x:v>620</x:v>
      </x:c>
      <x:c r="J67" s="8" t="s">
        <x:v>582</x:v>
      </x:c>
      <x:c r="K67" s="17">
        <x:v>0</x:v>
      </x:c>
      <x:c r="L67" s="17">
        <x:v>0</x:v>
      </x:c>
      <x:c r="M67" s="8" t="s">
        <x:v>596</x:v>
      </x:c>
      <x:c r="N67" s="17">
        <x:v>1</x:v>
      </x:c>
      <x:c r="O67" s="8" t="s">
        <x:v>583</x:v>
      </x:c>
      <x:c r="P67" s="8" t="s">
        <x:v>691</x:v>
      </x:c>
      <x:c r="Q67" s="8" t="s">
        <x:v>658</x:v>
      </x:c>
      <x:c r="R67" s="8" t="s">
        <x:v>17</x:v>
      </x:c>
      <x:c r="S67" s="8" t="s">
        <x:v>7</x:v>
      </x:c>
      <x:c r="T67" s="8" t="s">
        <x:v>373</x:v>
      </x:c>
      <x:c r="U67" s="8" t="s">
        <x:v>5</x:v>
      </x:c>
      <x:c r="V67" s="8" t="str">
        <x:v>개별 연계 구현 필요</x:v>
      </x:c>
      <x:c r="W67" s="8" t="s">
        <x:v>365</x:v>
      </x:c>
      <x:c r="X67" s="8" t="s">
        <x:v>80</x:v>
      </x:c>
      <x:c r="Y67" s="17">
        <x:v>1</x:v>
      </x:c>
    </x:row>
    <x:row r="68" ht="72" customHeight="1">
      <x:c r="A68" s="8" t="s">
        <x:v>379</x:v>
      </x:c>
      <x:c r="B68" s="8" t="s">
        <x:v>376</x:v>
      </x:c>
      <x:c r="C68" s="17">
        <x:v>1</x:v>
      </x:c>
      <x:c r="D68" s="17">
        <x:v>4</x:v>
      </x:c>
      <x:c r="E68" s="8" t="s">
        <x:v>596</x:v>
      </x:c>
      <x:c r="F68" s="8" t="s">
        <x:v>378</x:v>
      </x:c>
      <x:c r="G68" s="8"/>
      <x:c r="H68" s="17">
        <x:v>0</x:v>
      </x:c>
      <x:c r="I68" s="8" t="s">
        <x:v>620</x:v>
      </x:c>
      <x:c r="J68" s="8" t="s">
        <x:v>582</x:v>
      </x:c>
      <x:c r="K68" s="17">
        <x:v>0</x:v>
      </x:c>
      <x:c r="L68" s="17">
        <x:v>0</x:v>
      </x:c>
      <x:c r="M68" s="8" t="s">
        <x:v>596</x:v>
      </x:c>
      <x:c r="N68" s="17">
        <x:v>1</x:v>
      </x:c>
      <x:c r="O68" s="8" t="s">
        <x:v>591</x:v>
      </x:c>
      <x:c r="P68" s="8" t="s">
        <x:v>692</x:v>
      </x:c>
      <x:c r="Q68" s="8" t="s">
        <x:v>658</x:v>
      </x:c>
      <x:c r="R68" s="8" t="s">
        <x:v>17</x:v>
      </x:c>
      <x:c r="S68" s="8" t="s">
        <x:v>9</x:v>
      </x:c>
      <x:c r="T68" s="8" t="s">
        <x:v>377</x:v>
      </x:c>
      <x:c r="U68" s="8" t="s">
        <x:v>5</x:v>
      </x:c>
      <x:c r="V68" s="8" t="str">
        <x:v>개별 연계 구현 필요</x:v>
      </x:c>
      <x:c r="W68" s="8" t="s">
        <x:v>365</x:v>
      </x:c>
      <x:c r="X68" s="8" t="s">
        <x:v>80</x:v>
      </x:c>
      <x:c r="Y68" s="17">
        <x:v>1</x:v>
      </x:c>
    </x:row>
    <x:row r="69" ht="72" customHeight="1">
      <x:c r="A69" s="8" t="s">
        <x:v>383</x:v>
      </x:c>
      <x:c r="B69" s="8" t="s">
        <x:v>380</x:v>
      </x:c>
      <x:c r="C69" s="17">
        <x:v>1</x:v>
      </x:c>
      <x:c r="D69" s="17">
        <x:v>2</x:v>
      </x:c>
      <x:c r="E69" s="8" t="s">
        <x:v>596</x:v>
      </x:c>
      <x:c r="F69" s="8" t="s">
        <x:v>382</x:v>
      </x:c>
      <x:c r="G69" s="8"/>
      <x:c r="H69" s="17">
        <x:v>0</x:v>
      </x:c>
      <x:c r="I69" s="8" t="s">
        <x:v>620</x:v>
      </x:c>
      <x:c r="J69" s="8" t="s">
        <x:v>582</x:v>
      </x:c>
      <x:c r="K69" s="17">
        <x:v>0</x:v>
      </x:c>
      <x:c r="L69" s="17">
        <x:v>0</x:v>
      </x:c>
      <x:c r="M69" s="8" t="s">
        <x:v>596</x:v>
      </x:c>
      <x:c r="N69" s="17">
        <x:v>1</x:v>
      </x:c>
      <x:c r="O69" s="8" t="s">
        <x:v>587</x:v>
      </x:c>
      <x:c r="P69" s="8" t="s">
        <x:v>693</x:v>
      </x:c>
      <x:c r="Q69" s="8" t="s">
        <x:v>658</x:v>
      </x:c>
      <x:c r="R69" s="8" t="s">
        <x:v>17</x:v>
      </x:c>
      <x:c r="S69" s="8" t="s">
        <x:v>8</x:v>
      </x:c>
      <x:c r="T69" s="8" t="s">
        <x:v>381</x:v>
      </x:c>
      <x:c r="U69" s="8" t="s">
        <x:v>5</x:v>
      </x:c>
      <x:c r="V69" s="8" t="str">
        <x:v>개별 연계 구현 필요</x:v>
      </x:c>
      <x:c r="W69" s="8" t="s">
        <x:v>224</x:v>
      </x:c>
      <x:c r="X69" s="8" t="s">
        <x:v>80</x:v>
      </x:c>
      <x:c r="Y69" s="17">
        <x:v>1</x:v>
      </x:c>
    </x:row>
    <x:row r="70" ht="72" customHeight="1">
      <x:c r="A70" s="8" t="s">
        <x:v>388</x:v>
      </x:c>
      <x:c r="B70" s="8" t="s">
        <x:v>384</x:v>
      </x:c>
      <x:c r="C70" s="17">
        <x:v>1</x:v>
      </x:c>
      <x:c r="D70" s="17">
        <x:v>2</x:v>
      </x:c>
      <x:c r="E70" s="8" t="s">
        <x:v>580</x:v>
      </x:c>
      <x:c r="F70" s="8" t="s">
        <x:v>386</x:v>
      </x:c>
      <x:c r="G70" s="8" t="str">
        <x:v>{"targetMode":"singleEnemy","requireCondition":{"targetEffects":["effect_v2_poison"]},"actions":[{"operation":"consumeStacks","effectId":"effect_v2_poison","amount":4},{"operation":"heal","target":"self","amountFormula":"totalConsumedStacks*(3+1*n)"}]}</x:v>
      </x:c>
      <x:c r="H70" s="17" t="n">
        <x:v>1</x:v>
      </x:c>
      <x:c r="I70" s="8" t="s">
        <x:v>694</x:v>
      </x:c>
      <x:c r="J70" s="8" t="s">
        <x:v>582</x:v>
      </x:c>
      <x:c r="K70" s="17">
        <x:v>0</x:v>
      </x:c>
      <x:c r="L70" s="17">
        <x:v>0</x:v>
      </x:c>
      <x:c r="M70" s="8" t="s">
        <x:v>580</x:v>
      </x:c>
      <x:c r="N70" s="17">
        <x:v>1</x:v>
      </x:c>
      <x:c r="O70" s="8" t="s">
        <x:v>587</x:v>
      </x:c>
      <x:c r="P70" s="8" t="s">
        <x:v>695</x:v>
      </x:c>
      <x:c r="Q70" s="8" t="s">
        <x:v>658</x:v>
      </x:c>
      <x:c r="R70" s="8" t="s">
        <x:v>17</x:v>
      </x:c>
      <x:c r="S70" s="8" t="s">
        <x:v>8</x:v>
      </x:c>
      <x:c r="T70" s="8" t="s">
        <x:v>385</x:v>
      </x:c>
      <x:c r="U70" s="8" t="s">
        <x:v>5</x:v>
      </x:c>
      <x:c r="V70" s="8" t="str">
        <x:v>공통 확장 조합</x:v>
      </x:c>
      <x:c r="W70" s="8" t="s">
        <x:v>230</x:v>
      </x:c>
      <x:c r="X70" s="8" t="s">
        <x:v>387</x:v>
      </x:c>
      <x:c r="Y70" s="17">
        <x:v>1</x:v>
      </x:c>
    </x:row>
    <x:row r="71" ht="72" customHeight="1">
      <x:c r="A71" s="8" t="s">
        <x:v>393</x:v>
      </x:c>
      <x:c r="B71" s="8" t="s">
        <x:v>389</x:v>
      </x:c>
      <x:c r="C71" s="17">
        <x:v>1</x:v>
      </x:c>
      <x:c r="D71" s="17">
        <x:v>3</x:v>
      </x:c>
      <x:c r="E71" s="8" t="s">
        <x:v>580</x:v>
      </x:c>
      <x:c r="F71" s="8" t="s">
        <x:v>391</x:v>
      </x:c>
      <x:c r="G71" s="8"/>
      <x:c r="H71" s="17">
        <x:v>0</x:v>
      </x:c>
      <x:c r="I71" s="8" t="s">
        <x:v>620</x:v>
      </x:c>
      <x:c r="J71" s="8" t="s">
        <x:v>582</x:v>
      </x:c>
      <x:c r="K71" s="17">
        <x:v>0</x:v>
      </x:c>
      <x:c r="L71" s="17">
        <x:v>0</x:v>
      </x:c>
      <x:c r="M71" s="8" t="s">
        <x:v>580</x:v>
      </x:c>
      <x:c r="N71" s="17">
        <x:v>1</x:v>
      </x:c>
      <x:c r="O71" s="8" t="s">
        <x:v>601</x:v>
      </x:c>
      <x:c r="P71" s="8" t="s">
        <x:v>696</x:v>
      </x:c>
      <x:c r="Q71" s="8" t="s">
        <x:v>658</x:v>
      </x:c>
      <x:c r="R71" s="8" t="s">
        <x:v>17</x:v>
      </x:c>
      <x:c r="S71" s="8" t="s">
        <x:v>10</x:v>
      </x:c>
      <x:c r="T71" s="8" t="s">
        <x:v>390</x:v>
      </x:c>
      <x:c r="U71" s="8" t="s">
        <x:v>5</x:v>
      </x:c>
      <x:c r="V71" s="8" t="str">
        <x:v>개별 연계 구현 필요</x:v>
      </x:c>
      <x:c r="W71" s="8" t="s">
        <x:v>690</x:v>
      </x:c>
      <x:c r="X71" s="8" t="s">
        <x:v>392</x:v>
      </x:c>
      <x:c r="Y71" s="17">
        <x:v>1</x:v>
      </x:c>
    </x:row>
    <x:row r="72" ht="72" customHeight="1">
      <x:c r="A72" s="8" t="s">
        <x:v>398</x:v>
      </x:c>
      <x:c r="B72" s="8" t="s">
        <x:v>394</x:v>
      </x:c>
      <x:c r="C72" s="17">
        <x:v>1</x:v>
      </x:c>
      <x:c r="D72" s="17">
        <x:v>2</x:v>
      </x:c>
      <x:c r="E72" s="8" t="s">
        <x:v>596</x:v>
      </x:c>
      <x:c r="F72" s="8" t="s">
        <x:v>396</x:v>
      </x:c>
      <x:c r="G72" s="8" t="str">
        <x:v>{"targetMode":"singleEnemy","requireCondition":{"targetEffects":["effect_v2_poison"]},"actions":[{"operation":"damage","effectId":"effect_v2_poison","damageKind":"dot","amountFormula":"targetStacks"},{"operation":"consumeStacks","effectId":"effect_v2_poison","amount":1}]}</x:v>
      </x:c>
      <x:c r="H72" s="17" t="n">
        <x:v>1</x:v>
      </x:c>
      <x:c r="I72" s="8" t="s">
        <x:v>620</x:v>
      </x:c>
      <x:c r="J72" s="8" t="s">
        <x:v>582</x:v>
      </x:c>
      <x:c r="K72" s="17">
        <x:v>0</x:v>
      </x:c>
      <x:c r="L72" s="17">
        <x:v>0</x:v>
      </x:c>
      <x:c r="M72" s="8" t="s">
        <x:v>596</x:v>
      </x:c>
      <x:c r="N72" s="17">
        <x:v>1</x:v>
      </x:c>
      <x:c r="O72" s="8" t="s">
        <x:v>591</x:v>
      </x:c>
      <x:c r="P72" s="8" t="s">
        <x:v>697</x:v>
      </x:c>
      <x:c r="Q72" s="8" t="s">
        <x:v>658</x:v>
      </x:c>
      <x:c r="R72" s="8" t="s">
        <x:v>17</x:v>
      </x:c>
      <x:c r="S72" s="8" t="s">
        <x:v>9</x:v>
      </x:c>
      <x:c r="T72" s="8" t="s">
        <x:v>395</x:v>
      </x:c>
      <x:c r="U72" s="8" t="s">
        <x:v>98</x:v>
      </x:c>
      <x:c r="V72" s="8" t="str">
        <x:v>공통 확장 조합</x:v>
      </x:c>
      <x:c r="W72" s="8" t="s">
        <x:v>397</x:v>
      </x:c>
      <x:c r="X72" s="8" t="s">
        <x:v>80</x:v>
      </x:c>
      <x:c r="Y72" s="17">
        <x:v>1</x:v>
      </x:c>
    </x:row>
    <x:row r="73" ht="72" customHeight="1">
      <x:c r="A73" s="8" t="s">
        <x:v>402</x:v>
      </x:c>
      <x:c r="B73" s="8" t="s">
        <x:v>399</x:v>
      </x:c>
      <x:c r="C73" s="17">
        <x:v>1</x:v>
      </x:c>
      <x:c r="D73" s="17">
        <x:v>3</x:v>
      </x:c>
      <x:c r="E73" s="8" t="s">
        <x:v>596</x:v>
      </x:c>
      <x:c r="F73" s="8" t="s">
        <x:v>401</x:v>
      </x:c>
      <x:c r="G73" s="8"/>
      <x:c r="H73" s="17">
        <x:v>0</x:v>
      </x:c>
      <x:c r="I73" s="8" t="s">
        <x:v>620</x:v>
      </x:c>
      <x:c r="J73" s="8" t="s">
        <x:v>582</x:v>
      </x:c>
      <x:c r="K73" s="17">
        <x:v>0</x:v>
      </x:c>
      <x:c r="L73" s="17">
        <x:v>0</x:v>
      </x:c>
      <x:c r="M73" s="8" t="s">
        <x:v>596</x:v>
      </x:c>
      <x:c r="N73" s="17">
        <x:v>1</x:v>
      </x:c>
      <x:c r="O73" s="8" t="s">
        <x:v>591</x:v>
      </x:c>
      <x:c r="P73" s="8" t="s">
        <x:v>698</x:v>
      </x:c>
      <x:c r="Q73" s="8" t="s">
        <x:v>658</x:v>
      </x:c>
      <x:c r="R73" s="8" t="s">
        <x:v>17</x:v>
      </x:c>
      <x:c r="S73" s="8" t="s">
        <x:v>9</x:v>
      </x:c>
      <x:c r="T73" s="8" t="s">
        <x:v>400</x:v>
      </x:c>
      <x:c r="U73" s="8" t="s">
        <x:v>98</x:v>
      </x:c>
      <x:c r="V73" s="8" t="str">
        <x:v>개별 연계 구현 필요</x:v>
      </x:c>
      <x:c r="W73" s="8" t="s">
        <x:v>397</x:v>
      </x:c>
      <x:c r="X73" s="8" t="s">
        <x:v>80</x:v>
      </x:c>
      <x:c r="Y73" s="17">
        <x:v>1</x:v>
      </x:c>
    </x:row>
    <x:row r="74" ht="72" customHeight="1">
      <x:c r="A74" s="8" t="s">
        <x:v>406</x:v>
      </x:c>
      <x:c r="B74" s="8" t="s">
        <x:v>403</x:v>
      </x:c>
      <x:c r="C74" s="17">
        <x:v>1</x:v>
      </x:c>
      <x:c r="D74" s="17">
        <x:v>3</x:v>
      </x:c>
      <x:c r="E74" s="8" t="s">
        <x:v>596</x:v>
      </x:c>
      <x:c r="F74" s="8" t="s">
        <x:v>405</x:v>
      </x:c>
      <x:c r="G74" s="8"/>
      <x:c r="H74" s="17">
        <x:v>0</x:v>
      </x:c>
      <x:c r="I74" s="8" t="s">
        <x:v>620</x:v>
      </x:c>
      <x:c r="J74" s="8" t="s">
        <x:v>582</x:v>
      </x:c>
      <x:c r="K74" s="17">
        <x:v>0</x:v>
      </x:c>
      <x:c r="L74" s="17">
        <x:v>0</x:v>
      </x:c>
      <x:c r="M74" s="8" t="s">
        <x:v>596</x:v>
      </x:c>
      <x:c r="N74" s="17">
        <x:v>2</x:v>
      </x:c>
      <x:c r="O74" s="8" t="s">
        <x:v>601</x:v>
      </x:c>
      <x:c r="P74" s="8" t="s">
        <x:v>699</x:v>
      </x:c>
      <x:c r="Q74" s="8" t="s">
        <x:v>658</x:v>
      </x:c>
      <x:c r="R74" s="8" t="s">
        <x:v>17</x:v>
      </x:c>
      <x:c r="S74" s="8" t="s">
        <x:v>10</x:v>
      </x:c>
      <x:c r="T74" s="8" t="s">
        <x:v>404</x:v>
      </x:c>
      <x:c r="U74" s="8" t="s">
        <x:v>98</x:v>
      </x:c>
      <x:c r="V74" s="8" t="str">
        <x:v>개별 연계 구현 필요</x:v>
      </x:c>
      <x:c r="W74" s="8" t="s">
        <x:v>224</x:v>
      </x:c>
      <x:c r="X74" s="8" t="s">
        <x:v>80</x:v>
      </x:c>
      <x:c r="Y74" s="17">
        <x:v>1</x:v>
      </x:c>
    </x:row>
    <x:row r="75" ht="72" customHeight="1">
      <x:c r="A75" s="8" t="s">
        <x:v>411</x:v>
      </x:c>
      <x:c r="B75" s="8" t="s">
        <x:v>407</x:v>
      </x:c>
      <x:c r="C75" s="17">
        <x:v>1</x:v>
      </x:c>
      <x:c r="D75" s="17">
        <x:v>3</x:v>
      </x:c>
      <x:c r="E75" s="8" t="s">
        <x:v>580</x:v>
      </x:c>
      <x:c r="F75" s="8" t="s">
        <x:v>409</x:v>
      </x:c>
      <x:c r="G75" s="8"/>
      <x:c r="H75" s="17">
        <x:v>0</x:v>
      </x:c>
      <x:c r="I75" s="8" t="s">
        <x:v>593</x:v>
      </x:c>
      <x:c r="J75" s="8" t="s">
        <x:v>594</x:v>
      </x:c>
      <x:c r="K75" s="17">
        <x:v>0</x:v>
      </x:c>
      <x:c r="L75" s="17">
        <x:v>0</x:v>
      </x:c>
      <x:c r="M75" s="8" t="s">
        <x:v>580</x:v>
      </x:c>
      <x:c r="N75" s="17">
        <x:v>1</x:v>
      </x:c>
      <x:c r="O75" s="8" t="s">
        <x:v>609</x:v>
      </x:c>
      <x:c r="P75" s="8" t="s">
        <x:v>700</x:v>
      </x:c>
      <x:c r="Q75" s="8" t="s">
        <x:v>658</x:v>
      </x:c>
      <x:c r="R75" s="8" t="s">
        <x:v>17</x:v>
      </x:c>
      <x:c r="S75" s="8" t="s">
        <x:v>12</x:v>
      </x:c>
      <x:c r="T75" s="8" t="s">
        <x:v>408</x:v>
      </x:c>
      <x:c r="U75" s="8" t="s">
        <x:v>98</x:v>
      </x:c>
      <x:c r="V75" s="8" t="str">
        <x:v>개별 연계 구현 필요</x:v>
      </x:c>
      <x:c r="W75" s="8" t="s">
        <x:v>365</x:v>
      </x:c>
      <x:c r="X75" s="8" t="s">
        <x:v>410</x:v>
      </x:c>
      <x:c r="Y75" s="17">
        <x:v>1</x:v>
      </x:c>
    </x:row>
    <x:row r="76" ht="72" customHeight="1">
      <x:c r="A76" s="8" t="s">
        <x:v>416</x:v>
      </x:c>
      <x:c r="B76" s="8" t="s">
        <x:v>412</x:v>
      </x:c>
      <x:c r="C76" s="17">
        <x:v>1</x:v>
      </x:c>
      <x:c r="D76" s="17">
        <x:v>5</x:v>
      </x:c>
      <x:c r="E76" s="8" t="s">
        <x:v>596</x:v>
      </x:c>
      <x:c r="F76" s="8" t="s">
        <x:v>414</x:v>
      </x:c>
      <x:c r="G76" s="8"/>
      <x:c r="H76" s="17">
        <x:v>0</x:v>
      </x:c>
      <x:c r="I76" s="8" t="s">
        <x:v>597</x:v>
      </x:c>
      <x:c r="J76" s="8" t="s">
        <x:v>594</x:v>
      </x:c>
      <x:c r="K76" s="17">
        <x:v>0</x:v>
      </x:c>
      <x:c r="L76" s="17">
        <x:v>0</x:v>
      </x:c>
      <x:c r="M76" s="8" t="s">
        <x:v>596</x:v>
      </x:c>
      <x:c r="N76" s="17">
        <x:v>2</x:v>
      </x:c>
      <x:c r="O76" s="8" t="s">
        <x:v>603</x:v>
      </x:c>
      <x:c r="P76" s="8" t="s">
        <x:v>701</x:v>
      </x:c>
      <x:c r="Q76" s="8" t="s">
        <x:v>658</x:v>
      </x:c>
      <x:c r="R76" s="8" t="s">
        <x:v>17</x:v>
      </x:c>
      <x:c r="S76" s="8" t="s">
        <x:v>11</x:v>
      </x:c>
      <x:c r="T76" s="8" t="s">
        <x:v>413</x:v>
      </x:c>
      <x:c r="U76" s="8" t="s">
        <x:v>98</x:v>
      </x:c>
      <x:c r="V76" s="8" t="str">
        <x:v>개별 연계 구현 필요</x:v>
      </x:c>
      <x:c r="W76" s="8" t="s">
        <x:v>702</x:v>
      </x:c>
      <x:c r="X76" s="8" t="s">
        <x:v>80</x:v>
      </x:c>
      <x:c r="Y76" s="17">
        <x:v>1</x:v>
      </x:c>
    </x:row>
    <x:row r="77" ht="72" customHeight="1">
      <x:c r="A77" s="8" t="s">
        <x:v>421</x:v>
      </x:c>
      <x:c r="B77" s="8" t="s">
        <x:v>417</x:v>
      </x:c>
      <x:c r="C77" s="17">
        <x:v>1</x:v>
      </x:c>
      <x:c r="D77" s="17">
        <x:v>0</x:v>
      </x:c>
      <x:c r="E77" s="8" t="s">
        <x:v>580</x:v>
      </x:c>
      <x:c r="F77" s="8" t="s">
        <x:v>419</x:v>
      </x:c>
      <x:c r="G77" s="8" t="s">
        <x:v>703</x:v>
      </x:c>
      <x:c r="H77" s="17">
        <x:v>1</x:v>
      </x:c>
      <x:c r="I77" s="8" t="s">
        <x:v>581</x:v>
      </x:c>
      <x:c r="J77" s="8" t="s">
        <x:v>582</x:v>
      </x:c>
      <x:c r="K77" s="17">
        <x:v>0</x:v>
      </x:c>
      <x:c r="L77" s="17">
        <x:v>0</x:v>
      </x:c>
      <x:c r="M77" s="8" t="s">
        <x:v>580</x:v>
      </x:c>
      <x:c r="N77" s="17">
        <x:v>1</x:v>
      </x:c>
      <x:c r="O77" s="8" t="s">
        <x:v>583</x:v>
      </x:c>
      <x:c r="P77" s="8" t="s">
        <x:v>704</x:v>
      </x:c>
      <x:c r="Q77" s="8" t="s">
        <x:v>658</x:v>
      </x:c>
      <x:c r="R77" s="8" t="s">
        <x:v>18</x:v>
      </x:c>
      <x:c r="S77" s="8" t="s">
        <x:v>7</x:v>
      </x:c>
      <x:c r="T77" s="8" t="s">
        <x:v>418</x:v>
      </x:c>
      <x:c r="U77" s="8" t="s">
        <x:v>5</x:v>
      </x:c>
      <x:c r="V77" s="8" t="s">
        <x:v>24</x:v>
      </x:c>
      <x:c r="W77" s="8"/>
      <x:c r="X77" s="8" t="s">
        <x:v>420</x:v>
      </x:c>
      <x:c r="Y77" s="17">
        <x:v>1</x:v>
      </x:c>
    </x:row>
    <x:row r="78" ht="72" customHeight="1">
      <x:c r="A78" s="8" t="s">
        <x:v>427</x:v>
      </x:c>
      <x:c r="B78" s="8" t="s">
        <x:v>422</x:v>
      </x:c>
      <x:c r="C78" s="17">
        <x:v>1</x:v>
      </x:c>
      <x:c r="D78" s="17">
        <x:v>1</x:v>
      </x:c>
      <x:c r="E78" s="8" t="s">
        <x:v>580</x:v>
      </x:c>
      <x:c r="F78" s="8" t="s">
        <x:v>424</x:v>
      </x:c>
      <x:c r="G78" s="8"/>
      <x:c r="H78" s="17">
        <x:v>0</x:v>
      </x:c>
      <x:c r="I78" s="8" t="s">
        <x:v>581</x:v>
      </x:c>
      <x:c r="J78" s="8" t="s">
        <x:v>582</x:v>
      </x:c>
      <x:c r="K78" s="17">
        <x:v>0</x:v>
      </x:c>
      <x:c r="L78" s="17">
        <x:v>0</x:v>
      </x:c>
      <x:c r="M78" s="8" t="s">
        <x:v>580</x:v>
      </x:c>
      <x:c r="N78" s="17">
        <x:v>1</x:v>
      </x:c>
      <x:c r="O78" s="8" t="s">
        <x:v>583</x:v>
      </x:c>
      <x:c r="P78" s="8" t="s">
        <x:v>705</x:v>
      </x:c>
      <x:c r="Q78" s="8" t="s">
        <x:v>658</x:v>
      </x:c>
      <x:c r="R78" s="8" t="s">
        <x:v>18</x:v>
      </x:c>
      <x:c r="S78" s="8" t="s">
        <x:v>7</x:v>
      </x:c>
      <x:c r="T78" s="8" t="s">
        <x:v>423</x:v>
      </x:c>
      <x:c r="U78" s="8" t="s">
        <x:v>5</x:v>
      </x:c>
      <x:c r="V78" s="8" t="str">
        <x:v>개별 연계 구현 필요</x:v>
      </x:c>
      <x:c r="W78" s="8" t="s">
        <x:v>706</x:v>
      </x:c>
      <x:c r="X78" s="8" t="s">
        <x:v>425</x:v>
      </x:c>
      <x:c r="Y78" s="17">
        <x:v>1</x:v>
      </x:c>
    </x:row>
    <x:row r="79" ht="72" customHeight="1">
      <x:c r="A79" s="8" t="s">
        <x:v>431</x:v>
      </x:c>
      <x:c r="B79" s="8" t="s">
        <x:v>428</x:v>
      </x:c>
      <x:c r="C79" s="17">
        <x:v>1</x:v>
      </x:c>
      <x:c r="D79" s="17">
        <x:v>2</x:v>
      </x:c>
      <x:c r="E79" s="8" t="s">
        <x:v>580</x:v>
      </x:c>
      <x:c r="F79" s="8" t="s">
        <x:v>430</x:v>
      </x:c>
      <x:c r="G79" s="8"/>
      <x:c r="H79" s="17">
        <x:v>0</x:v>
      </x:c>
      <x:c r="I79" s="8" t="s">
        <x:v>581</x:v>
      </x:c>
      <x:c r="J79" s="8" t="s">
        <x:v>582</x:v>
      </x:c>
      <x:c r="K79" s="17">
        <x:v>0</x:v>
      </x:c>
      <x:c r="L79" s="17">
        <x:v>0</x:v>
      </x:c>
      <x:c r="M79" s="8" t="s">
        <x:v>580</x:v>
      </x:c>
      <x:c r="N79" s="17">
        <x:v>1</x:v>
      </x:c>
      <x:c r="O79" s="8" t="s">
        <x:v>587</x:v>
      </x:c>
      <x:c r="P79" s="8" t="s">
        <x:v>707</x:v>
      </x:c>
      <x:c r="Q79" s="8" t="s">
        <x:v>658</x:v>
      </x:c>
      <x:c r="R79" s="8" t="s">
        <x:v>18</x:v>
      </x:c>
      <x:c r="S79" s="8" t="s">
        <x:v>8</x:v>
      </x:c>
      <x:c r="T79" s="8" t="s">
        <x:v>429</x:v>
      </x:c>
      <x:c r="U79" s="8" t="s">
        <x:v>5</x:v>
      </x:c>
      <x:c r="V79" s="8" t="str">
        <x:v>개별 연계 구현 필요</x:v>
      </x:c>
      <x:c r="W79" s="8" t="s">
        <x:v>184</x:v>
      </x:c>
      <x:c r="X79" s="8" t="s">
        <x:v>162</x:v>
      </x:c>
      <x:c r="Y79" s="17">
        <x:v>1</x:v>
      </x:c>
    </x:row>
    <x:row r="80" ht="72" customHeight="1">
      <x:c r="A80" s="8" t="s">
        <x:v>435</x:v>
      </x:c>
      <x:c r="B80" s="8" t="s">
        <x:v>432</x:v>
      </x:c>
      <x:c r="C80" s="17">
        <x:v>1</x:v>
      </x:c>
      <x:c r="D80" s="17">
        <x:v>2</x:v>
      </x:c>
      <x:c r="E80" s="8" t="s">
        <x:v>596</x:v>
      </x:c>
      <x:c r="F80" s="8" t="s">
        <x:v>434</x:v>
      </x:c>
      <x:c r="G80" s="8"/>
      <x:c r="H80" s="17">
        <x:v>0</x:v>
      </x:c>
      <x:c r="I80" s="8" t="s">
        <x:v>597</x:v>
      </x:c>
      <x:c r="J80" s="8" t="s">
        <x:v>594</x:v>
      </x:c>
      <x:c r="K80" s="17">
        <x:v>0</x:v>
      </x:c>
      <x:c r="L80" s="17">
        <x:v>0</x:v>
      </x:c>
      <x:c r="M80" s="8" t="s">
        <x:v>596</x:v>
      </x:c>
      <x:c r="N80" s="17">
        <x:v>1</x:v>
      </x:c>
      <x:c r="O80" s="8" t="s">
        <x:v>583</x:v>
      </x:c>
      <x:c r="P80" s="8" t="s">
        <x:v>708</x:v>
      </x:c>
      <x:c r="Q80" s="8" t="s">
        <x:v>658</x:v>
      </x:c>
      <x:c r="R80" s="8" t="s">
        <x:v>18</x:v>
      </x:c>
      <x:c r="S80" s="8" t="s">
        <x:v>7</x:v>
      </x:c>
      <x:c r="T80" s="8" t="s">
        <x:v>433</x:v>
      </x:c>
      <x:c r="U80" s="8" t="s">
        <x:v>5</x:v>
      </x:c>
      <x:c r="V80" s="8" t="str">
        <x:v>개별 연계 구현 필요</x:v>
      </x:c>
      <x:c r="W80" s="8" t="s">
        <x:v>75</x:v>
      </x:c>
      <x:c r="X80" s="8" t="s">
        <x:v>80</x:v>
      </x:c>
      <x:c r="Y80" s="17">
        <x:v>1</x:v>
      </x:c>
    </x:row>
    <x:row r="81" ht="72" customHeight="1">
      <x:c r="A81" s="8" t="s">
        <x:v>440</x:v>
      </x:c>
      <x:c r="B81" s="8" t="s">
        <x:v>436</x:v>
      </x:c>
      <x:c r="C81" s="17">
        <x:v>1</x:v>
      </x:c>
      <x:c r="D81" s="17">
        <x:v>3</x:v>
      </x:c>
      <x:c r="E81" s="8" t="s">
        <x:v>596</x:v>
      </x:c>
      <x:c r="F81" s="8" t="s">
        <x:v>438</x:v>
      </x:c>
      <x:c r="G81" s="8"/>
      <x:c r="H81" s="17">
        <x:v>0</x:v>
      </x:c>
      <x:c r="I81" s="8" t="s">
        <x:v>597</x:v>
      </x:c>
      <x:c r="J81" s="8" t="s">
        <x:v>594</x:v>
      </x:c>
      <x:c r="K81" s="17">
        <x:v>0</x:v>
      </x:c>
      <x:c r="L81" s="17">
        <x:v>0</x:v>
      </x:c>
      <x:c r="M81" s="8" t="s">
        <x:v>596</x:v>
      </x:c>
      <x:c r="N81" s="17">
        <x:v>1</x:v>
      </x:c>
      <x:c r="O81" s="8" t="s">
        <x:v>587</x:v>
      </x:c>
      <x:c r="P81" s="8" t="s">
        <x:v>709</x:v>
      </x:c>
      <x:c r="Q81" s="8" t="s">
        <x:v>658</x:v>
      </x:c>
      <x:c r="R81" s="8" t="s">
        <x:v>18</x:v>
      </x:c>
      <x:c r="S81" s="8" t="s">
        <x:v>8</x:v>
      </x:c>
      <x:c r="T81" s="8" t="s">
        <x:v>437</x:v>
      </x:c>
      <x:c r="U81" s="8" t="s">
        <x:v>5</x:v>
      </x:c>
      <x:c r="V81" s="8" t="str">
        <x:v>개별 연계 구현 필요</x:v>
      </x:c>
      <x:c r="W81" s="8" t="s">
        <x:v>439</x:v>
      </x:c>
      <x:c r="X81" s="8" t="s">
        <x:v>80</x:v>
      </x:c>
      <x:c r="Y81" s="17">
        <x:v>1</x:v>
      </x:c>
    </x:row>
    <x:row r="82" ht="72" customHeight="1">
      <x:c r="A82" s="8" t="s">
        <x:v>444</x:v>
      </x:c>
      <x:c r="B82" s="8" t="s">
        <x:v>441</x:v>
      </x:c>
      <x:c r="C82" s="17">
        <x:v>1</x:v>
      </x:c>
      <x:c r="D82" s="17">
        <x:v>4</x:v>
      </x:c>
      <x:c r="E82" s="8" t="s">
        <x:v>596</x:v>
      </x:c>
      <x:c r="F82" s="8" t="s">
        <x:v>443</x:v>
      </x:c>
      <x:c r="G82" s="8"/>
      <x:c r="H82" s="17">
        <x:v>0</x:v>
      </x:c>
      <x:c r="I82" s="8" t="s">
        <x:v>597</x:v>
      </x:c>
      <x:c r="J82" s="8" t="s">
        <x:v>594</x:v>
      </x:c>
      <x:c r="K82" s="17">
        <x:v>0</x:v>
      </x:c>
      <x:c r="L82" s="17">
        <x:v>0</x:v>
      </x:c>
      <x:c r="M82" s="8" t="s">
        <x:v>596</x:v>
      </x:c>
      <x:c r="N82" s="17">
        <x:v>1</x:v>
      </x:c>
      <x:c r="O82" s="8" t="s">
        <x:v>591</x:v>
      </x:c>
      <x:c r="P82" s="8" t="s">
        <x:v>710</x:v>
      </x:c>
      <x:c r="Q82" s="8" t="s">
        <x:v>658</x:v>
      </x:c>
      <x:c r="R82" s="8" t="s">
        <x:v>18</x:v>
      </x:c>
      <x:c r="S82" s="8" t="s">
        <x:v>9</x:v>
      </x:c>
      <x:c r="T82" s="8" t="s">
        <x:v>442</x:v>
      </x:c>
      <x:c r="U82" s="8" t="s">
        <x:v>5</x:v>
      </x:c>
      <x:c r="V82" s="8" t="str">
        <x:v>개별 연계 구현 필요</x:v>
      </x:c>
      <x:c r="W82" s="8" t="s">
        <x:v>439</x:v>
      </x:c>
      <x:c r="X82" s="8" t="s">
        <x:v>80</x:v>
      </x:c>
      <x:c r="Y82" s="17">
        <x:v>1</x:v>
      </x:c>
    </x:row>
    <x:row r="83" ht="72" customHeight="1">
      <x:c r="A83" s="8" t="s">
        <x:v>450</x:v>
      </x:c>
      <x:c r="B83" s="8" t="s">
        <x:v>445</x:v>
      </x:c>
      <x:c r="C83" s="17">
        <x:v>1</x:v>
      </x:c>
      <x:c r="D83" s="17">
        <x:v>2</x:v>
      </x:c>
      <x:c r="E83" s="8" t="s">
        <x:v>580</x:v>
      </x:c>
      <x:c r="F83" s="8" t="s">
        <x:v>447</x:v>
      </x:c>
      <x:c r="G83" s="8"/>
      <x:c r="H83" s="17">
        <x:v>0</x:v>
      </x:c>
      <x:c r="I83" s="8" t="s">
        <x:v>593</x:v>
      </x:c>
      <x:c r="J83" s="8" t="s">
        <x:v>594</x:v>
      </x:c>
      <x:c r="K83" s="17">
        <x:v>0</x:v>
      </x:c>
      <x:c r="L83" s="17">
        <x:v>0</x:v>
      </x:c>
      <x:c r="M83" s="8" t="s">
        <x:v>580</x:v>
      </x:c>
      <x:c r="N83" s="17">
        <x:v>1</x:v>
      </x:c>
      <x:c r="O83" s="8" t="s">
        <x:v>587</x:v>
      </x:c>
      <x:c r="P83" s="8" t="s">
        <x:v>711</x:v>
      </x:c>
      <x:c r="Q83" s="8" t="s">
        <x:v>658</x:v>
      </x:c>
      <x:c r="R83" s="8" t="s">
        <x:v>18</x:v>
      </x:c>
      <x:c r="S83" s="8" t="s">
        <x:v>8</x:v>
      </x:c>
      <x:c r="T83" s="8" t="s">
        <x:v>446</x:v>
      </x:c>
      <x:c r="U83" s="8" t="s">
        <x:v>5</x:v>
      </x:c>
      <x:c r="V83" s="8" t="str">
        <x:v>개별 연계 구현 필요</x:v>
      </x:c>
      <x:c r="W83" s="8" t="s">
        <x:v>712</x:v>
      </x:c>
      <x:c r="X83" s="8" t="s">
        <x:v>448</x:v>
      </x:c>
      <x:c r="Y83" s="17">
        <x:v>1</x:v>
      </x:c>
    </x:row>
    <x:row r="84" ht="72" customHeight="1">
      <x:c r="A84" s="8" t="s">
        <x:v>455</x:v>
      </x:c>
      <x:c r="B84" s="8" t="s">
        <x:v>451</x:v>
      </x:c>
      <x:c r="C84" s="17">
        <x:v>1</x:v>
      </x:c>
      <x:c r="D84" s="17">
        <x:v>0</x:v>
      </x:c>
      <x:c r="E84" s="8" t="s">
        <x:v>678</x:v>
      </x:c>
      <x:c r="F84" s="8" t="s">
        <x:v>453</x:v>
      </x:c>
      <x:c r="G84" s="8"/>
      <x:c r="H84" s="17">
        <x:v>0</x:v>
      </x:c>
      <x:c r="I84" s="8" t="s">
        <x:v>597</x:v>
      </x:c>
      <x:c r="J84" s="8" t="s">
        <x:v>594</x:v>
      </x:c>
      <x:c r="K84" s="17">
        <x:v>0</x:v>
      </x:c>
      <x:c r="L84" s="17">
        <x:v>0</x:v>
      </x:c>
      <x:c r="M84" s="8" t="s">
        <x:v>596</x:v>
      </x:c>
      <x:c r="N84" s="17">
        <x:v>1</x:v>
      </x:c>
      <x:c r="O84" s="8" t="s">
        <x:v>587</x:v>
      </x:c>
      <x:c r="P84" s="8" t="s">
        <x:v>713</x:v>
      </x:c>
      <x:c r="Q84" s="8" t="s">
        <x:v>658</x:v>
      </x:c>
      <x:c r="R84" s="8" t="s">
        <x:v>18</x:v>
      </x:c>
      <x:c r="S84" s="8" t="s">
        <x:v>8</x:v>
      </x:c>
      <x:c r="T84" s="8" t="s">
        <x:v>452</x:v>
      </x:c>
      <x:c r="U84" s="8" t="s">
        <x:v>5</x:v>
      </x:c>
      <x:c r="V84" s="8" t="str">
        <x:v>개별 연계 구현 필요</x:v>
      </x:c>
      <x:c r="W84" s="8" t="s">
        <x:v>454</x:v>
      </x:c>
      <x:c r="X84" s="8" t="s">
        <x:v>80</x:v>
      </x:c>
      <x:c r="Y84" s="17">
        <x:v>1</x:v>
      </x:c>
    </x:row>
    <x:row r="85" ht="72" customHeight="1">
      <x:c r="A85" s="8" t="s">
        <x:v>459</x:v>
      </x:c>
      <x:c r="B85" s="8" t="s">
        <x:v>456</x:v>
      </x:c>
      <x:c r="C85" s="17">
        <x:v>1</x:v>
      </x:c>
      <x:c r="D85" s="17">
        <x:v>0</x:v>
      </x:c>
      <x:c r="E85" s="8" t="s">
        <x:v>678</x:v>
      </x:c>
      <x:c r="F85" s="8" t="s">
        <x:v>458</x:v>
      </x:c>
      <x:c r="G85" s="8"/>
      <x:c r="H85" s="17">
        <x:v>0</x:v>
      </x:c>
      <x:c r="I85" s="8" t="s">
        <x:v>597</x:v>
      </x:c>
      <x:c r="J85" s="8" t="s">
        <x:v>594</x:v>
      </x:c>
      <x:c r="K85" s="17">
        <x:v>0</x:v>
      </x:c>
      <x:c r="L85" s="17">
        <x:v>0</x:v>
      </x:c>
      <x:c r="M85" s="8" t="s">
        <x:v>596</x:v>
      </x:c>
      <x:c r="N85" s="17">
        <x:v>1</x:v>
      </x:c>
      <x:c r="O85" s="8" t="s">
        <x:v>591</x:v>
      </x:c>
      <x:c r="P85" s="8" t="s">
        <x:v>714</x:v>
      </x:c>
      <x:c r="Q85" s="8" t="s">
        <x:v>658</x:v>
      </x:c>
      <x:c r="R85" s="8" t="s">
        <x:v>18</x:v>
      </x:c>
      <x:c r="S85" s="8" t="s">
        <x:v>9</x:v>
      </x:c>
      <x:c r="T85" s="8" t="s">
        <x:v>457</x:v>
      </x:c>
      <x:c r="U85" s="8" t="s">
        <x:v>5</x:v>
      </x:c>
      <x:c r="V85" s="8" t="str">
        <x:v>개별 연계 구현 필요</x:v>
      </x:c>
      <x:c r="W85" s="8" t="s">
        <x:v>454</x:v>
      </x:c>
      <x:c r="X85" s="8" t="s">
        <x:v>80</x:v>
      </x:c>
      <x:c r="Y85" s="17">
        <x:v>1</x:v>
      </x:c>
    </x:row>
    <x:row r="86" ht="72" customHeight="1">
      <x:c r="A86" s="8" t="s">
        <x:v>464</x:v>
      </x:c>
      <x:c r="B86" s="8" t="s">
        <x:v>460</x:v>
      </x:c>
      <x:c r="C86" s="17">
        <x:v>1</x:v>
      </x:c>
      <x:c r="D86" s="17">
        <x:v>0</x:v>
      </x:c>
      <x:c r="E86" s="8" t="s">
        <x:v>678</x:v>
      </x:c>
      <x:c r="F86" s="8" t="s">
        <x:v>462</x:v>
      </x:c>
      <x:c r="G86" s="8"/>
      <x:c r="H86" s="17">
        <x:v>0</x:v>
      </x:c>
      <x:c r="I86" s="8" t="s">
        <x:v>597</x:v>
      </x:c>
      <x:c r="J86" s="8" t="s">
        <x:v>594</x:v>
      </x:c>
      <x:c r="K86" s="17">
        <x:v>0</x:v>
      </x:c>
      <x:c r="L86" s="17">
        <x:v>0</x:v>
      </x:c>
      <x:c r="M86" s="8" t="s">
        <x:v>596</x:v>
      </x:c>
      <x:c r="N86" s="17">
        <x:v>1</x:v>
      </x:c>
      <x:c r="O86" s="8" t="s">
        <x:v>603</x:v>
      </x:c>
      <x:c r="P86" s="8" t="s">
        <x:v>715</x:v>
      </x:c>
      <x:c r="Q86" s="8" t="s">
        <x:v>658</x:v>
      </x:c>
      <x:c r="R86" s="8" t="s">
        <x:v>18</x:v>
      </x:c>
      <x:c r="S86" s="8" t="s">
        <x:v>11</x:v>
      </x:c>
      <x:c r="T86" s="8" t="s">
        <x:v>461</x:v>
      </x:c>
      <x:c r="U86" s="8" t="s">
        <x:v>5</x:v>
      </x:c>
      <x:c r="V86" s="8" t="str">
        <x:v>개별 연계 구현 필요</x:v>
      </x:c>
      <x:c r="W86" s="8" t="s">
        <x:v>716</x:v>
      </x:c>
      <x:c r="X86" s="8" t="s">
        <x:v>80</x:v>
      </x:c>
      <x:c r="Y86" s="17">
        <x:v>1</x:v>
      </x:c>
    </x:row>
    <x:row r="87" ht="72" customHeight="1">
      <x:c r="A87" s="8" t="s">
        <x:v>469</x:v>
      </x:c>
      <x:c r="B87" s="8" t="s">
        <x:v>465</x:v>
      </x:c>
      <x:c r="C87" s="17">
        <x:v>1</x:v>
      </x:c>
      <x:c r="D87" s="17">
        <x:v>3</x:v>
      </x:c>
      <x:c r="E87" s="8" t="s">
        <x:v>596</x:v>
      </x:c>
      <x:c r="F87" s="8" t="s">
        <x:v>467</x:v>
      </x:c>
      <x:c r="G87" s="8"/>
      <x:c r="H87" s="17">
        <x:v>0</x:v>
      </x:c>
      <x:c r="I87" s="8" t="s">
        <x:v>597</x:v>
      </x:c>
      <x:c r="J87" s="8" t="s">
        <x:v>594</x:v>
      </x:c>
      <x:c r="K87" s="17">
        <x:v>0</x:v>
      </x:c>
      <x:c r="L87" s="17">
        <x:v>0</x:v>
      </x:c>
      <x:c r="M87" s="8" t="s">
        <x:v>596</x:v>
      </x:c>
      <x:c r="N87" s="17">
        <x:v>1</x:v>
      </x:c>
      <x:c r="O87" s="8" t="s">
        <x:v>591</x:v>
      </x:c>
      <x:c r="P87" s="8" t="s">
        <x:v>717</x:v>
      </x:c>
      <x:c r="Q87" s="8" t="s">
        <x:v>658</x:v>
      </x:c>
      <x:c r="R87" s="8" t="s">
        <x:v>18</x:v>
      </x:c>
      <x:c r="S87" s="8" t="s">
        <x:v>9</x:v>
      </x:c>
      <x:c r="T87" s="8" t="s">
        <x:v>466</x:v>
      </x:c>
      <x:c r="U87" s="8" t="s">
        <x:v>98</x:v>
      </x:c>
      <x:c r="V87" s="8" t="str">
        <x:v>개별 연계 구현 필요</x:v>
      </x:c>
      <x:c r="W87" s="8" t="s">
        <x:v>718</x:v>
      </x:c>
      <x:c r="X87" s="8" t="s">
        <x:v>80</x:v>
      </x:c>
      <x:c r="Y87" s="17">
        <x:v>1</x:v>
      </x:c>
    </x:row>
    <x:row r="88" ht="72" customHeight="1">
      <x:c r="A88" s="8" t="s">
        <x:v>474</x:v>
      </x:c>
      <x:c r="B88" s="8" t="s">
        <x:v>470</x:v>
      </x:c>
      <x:c r="C88" s="17">
        <x:v>1</x:v>
      </x:c>
      <x:c r="D88" s="17">
        <x:v>4</x:v>
      </x:c>
      <x:c r="E88" s="8" t="s">
        <x:v>596</x:v>
      </x:c>
      <x:c r="F88" s="8" t="s">
        <x:v>472</x:v>
      </x:c>
      <x:c r="G88" s="8"/>
      <x:c r="H88" s="17">
        <x:v>0</x:v>
      </x:c>
      <x:c r="I88" s="8" t="s">
        <x:v>597</x:v>
      </x:c>
      <x:c r="J88" s="8" t="s">
        <x:v>594</x:v>
      </x:c>
      <x:c r="K88" s="17">
        <x:v>0</x:v>
      </x:c>
      <x:c r="L88" s="17">
        <x:v>0</x:v>
      </x:c>
      <x:c r="M88" s="8" t="s">
        <x:v>596</x:v>
      </x:c>
      <x:c r="N88" s="17">
        <x:v>1</x:v>
      </x:c>
      <x:c r="O88" s="8" t="s">
        <x:v>601</x:v>
      </x:c>
      <x:c r="P88" s="8" t="s">
        <x:v>719</x:v>
      </x:c>
      <x:c r="Q88" s="8" t="s">
        <x:v>658</x:v>
      </x:c>
      <x:c r="R88" s="8" t="s">
        <x:v>18</x:v>
      </x:c>
      <x:c r="S88" s="8" t="s">
        <x:v>10</x:v>
      </x:c>
      <x:c r="T88" s="8" t="s">
        <x:v>471</x:v>
      </x:c>
      <x:c r="U88" s="8" t="s">
        <x:v>98</x:v>
      </x:c>
      <x:c r="V88" s="8" t="str">
        <x:v>개별 연계 구현 필요</x:v>
      </x:c>
      <x:c r="W88" s="8" t="s">
        <x:v>720</x:v>
      </x:c>
      <x:c r="X88" s="8" t="s">
        <x:v>80</x:v>
      </x:c>
      <x:c r="Y88" s="17">
        <x:v>1</x:v>
      </x:c>
    </x:row>
    <x:row r="89" ht="72" customHeight="1">
      <x:c r="A89" s="8" t="s">
        <x:v>478</x:v>
      </x:c>
      <x:c r="B89" s="8" t="s">
        <x:v>475</x:v>
      </x:c>
      <x:c r="C89" s="17">
        <x:v>1</x:v>
      </x:c>
      <x:c r="D89" s="17">
        <x:v>2</x:v>
      </x:c>
      <x:c r="E89" s="8" t="s">
        <x:v>580</x:v>
      </x:c>
      <x:c r="F89" s="8" t="s">
        <x:v>477</x:v>
      </x:c>
      <x:c r="G89" s="8"/>
      <x:c r="H89" s="17">
        <x:v>0</x:v>
      </x:c>
      <x:c r="I89" s="8" t="s">
        <x:v>581</x:v>
      </x:c>
      <x:c r="J89" s="8" t="s">
        <x:v>582</x:v>
      </x:c>
      <x:c r="K89" s="17">
        <x:v>0</x:v>
      </x:c>
      <x:c r="L89" s="17">
        <x:v>0</x:v>
      </x:c>
      <x:c r="M89" s="8" t="s">
        <x:v>580</x:v>
      </x:c>
      <x:c r="N89" s="17">
        <x:v>2</x:v>
      </x:c>
      <x:c r="O89" s="8" t="s">
        <x:v>591</x:v>
      </x:c>
      <x:c r="P89" s="8" t="s">
        <x:v>721</x:v>
      </x:c>
      <x:c r="Q89" s="8" t="s">
        <x:v>658</x:v>
      </x:c>
      <x:c r="R89" s="8" t="s">
        <x:v>18</x:v>
      </x:c>
      <x:c r="S89" s="8" t="s">
        <x:v>9</x:v>
      </x:c>
      <x:c r="T89" s="8" t="s">
        <x:v>476</x:v>
      </x:c>
      <x:c r="U89" s="8" t="s">
        <x:v>98</x:v>
      </x:c>
      <x:c r="V89" s="8" t="str">
        <x:v>개별 연계 구현 필요</x:v>
      </x:c>
      <x:c r="W89" s="8" t="s">
        <x:v>439</x:v>
      </x:c>
      <x:c r="X89" s="8" t="s">
        <x:v>126</x:v>
      </x:c>
      <x:c r="Y89" s="17">
        <x:v>1</x:v>
      </x:c>
    </x:row>
    <x:row r="90" ht="72" customHeight="1">
      <x:c r="A90" s="8" t="s">
        <x:v>483</x:v>
      </x:c>
      <x:c r="B90" s="8" t="s">
        <x:v>479</x:v>
      </x:c>
      <x:c r="C90" s="17">
        <x:v>1</x:v>
      </x:c>
      <x:c r="D90" s="17">
        <x:v>5</x:v>
      </x:c>
      <x:c r="E90" s="8" t="s">
        <x:v>678</x:v>
      </x:c>
      <x:c r="F90" s="8" t="s">
        <x:v>481</x:v>
      </x:c>
      <x:c r="G90" s="8"/>
      <x:c r="H90" s="17">
        <x:v>0</x:v>
      </x:c>
      <x:c r="I90" s="8" t="s">
        <x:v>597</x:v>
      </x:c>
      <x:c r="J90" s="8" t="s">
        <x:v>594</x:v>
      </x:c>
      <x:c r="K90" s="17">
        <x:v>0</x:v>
      </x:c>
      <x:c r="L90" s="17">
        <x:v>0</x:v>
      </x:c>
      <x:c r="M90" s="8" t="s">
        <x:v>596</x:v>
      </x:c>
      <x:c r="N90" s="17">
        <x:v>1</x:v>
      </x:c>
      <x:c r="O90" s="8" t="s">
        <x:v>601</x:v>
      </x:c>
      <x:c r="P90" s="8" t="s">
        <x:v>722</x:v>
      </x:c>
      <x:c r="Q90" s="8" t="s">
        <x:v>658</x:v>
      </x:c>
      <x:c r="R90" s="8" t="s">
        <x:v>18</x:v>
      </x:c>
      <x:c r="S90" s="8" t="s">
        <x:v>10</x:v>
      </x:c>
      <x:c r="T90" s="8" t="s">
        <x:v>480</x:v>
      </x:c>
      <x:c r="U90" s="8" t="s">
        <x:v>98</x:v>
      </x:c>
      <x:c r="V90" s="8" t="str">
        <x:v>개별 연계 구현 필요</x:v>
      </x:c>
      <x:c r="W90" s="8" t="s">
        <x:v>482</x:v>
      </x:c>
      <x:c r="X90" s="8" t="s">
        <x:v>80</x:v>
      </x:c>
      <x:c r="Y90" s="17">
        <x:v>1</x:v>
      </x:c>
    </x:row>
    <x:row r="91" ht="72" customHeight="1">
      <x:c r="A91" s="8" t="s">
        <x:v>488</x:v>
      </x:c>
      <x:c r="B91" s="8" t="s">
        <x:v>484</x:v>
      </x:c>
      <x:c r="C91" s="17">
        <x:v>1</x:v>
      </x:c>
      <x:c r="D91" s="17">
        <x:v>4</x:v>
      </x:c>
      <x:c r="E91" s="8" t="s">
        <x:v>596</x:v>
      </x:c>
      <x:c r="F91" s="8" t="s">
        <x:v>486</x:v>
      </x:c>
      <x:c r="G91" s="8"/>
      <x:c r="H91" s="17">
        <x:v>0</x:v>
      </x:c>
      <x:c r="I91" s="8" t="s">
        <x:v>597</x:v>
      </x:c>
      <x:c r="J91" s="8" t="s">
        <x:v>594</x:v>
      </x:c>
      <x:c r="K91" s="17">
        <x:v>0</x:v>
      </x:c>
      <x:c r="L91" s="17">
        <x:v>0</x:v>
      </x:c>
      <x:c r="M91" s="8" t="s">
        <x:v>596</x:v>
      </x:c>
      <x:c r="N91" s="17">
        <x:v>1</x:v>
      </x:c>
      <x:c r="O91" s="8" t="s">
        <x:v>609</x:v>
      </x:c>
      <x:c r="P91" s="8" t="s">
        <x:v>723</x:v>
      </x:c>
      <x:c r="Q91" s="8" t="s">
        <x:v>658</x:v>
      </x:c>
      <x:c r="R91" s="8" t="s">
        <x:v>18</x:v>
      </x:c>
      <x:c r="S91" s="8" t="s">
        <x:v>12</x:v>
      </x:c>
      <x:c r="T91" s="8" t="s">
        <x:v>485</x:v>
      </x:c>
      <x:c r="U91" s="8" t="s">
        <x:v>98</x:v>
      </x:c>
      <x:c r="V91" s="8" t="str">
        <x:v>개별 연계 구현 필요</x:v>
      </x:c>
      <x:c r="W91" s="8" t="s">
        <x:v>724</x:v>
      </x:c>
      <x:c r="X91" s="8" t="s">
        <x:v>80</x:v>
      </x:c>
      <x:c r="Y91" s="17">
        <x:v>1</x:v>
      </x:c>
    </x:row>
    <x:row r="92" ht="72" customHeight="1">
      <x:c r="A92" s="8" t="s">
        <x:v>493</x:v>
      </x:c>
      <x:c r="B92" s="8" t="s">
        <x:v>489</x:v>
      </x:c>
      <x:c r="C92" s="17">
        <x:v>1</x:v>
      </x:c>
      <x:c r="D92" s="17">
        <x:v>0</x:v>
      </x:c>
      <x:c r="E92" s="8" t="s">
        <x:v>580</x:v>
      </x:c>
      <x:c r="F92" s="8" t="s">
        <x:v>490</x:v>
      </x:c>
      <x:c r="G92" s="8" t="str">
        <x:v>{"targetMode":"singleEnemy","damageFormula":"attack*0.4+2+2*n","applyEffects":[{"effectId":"effect_v2_shock","target":"enemy","stacks":2,"value":1,"chance":100}]}</x:v>
      </x:c>
      <x:c r="H92" s="17" t="n">
        <x:v>1</x:v>
      </x:c>
      <x:c r="I92" s="8" t="s">
        <x:v>581</x:v>
      </x:c>
      <x:c r="J92" s="8" t="s">
        <x:v>582</x:v>
      </x:c>
      <x:c r="K92" s="17">
        <x:v>0</x:v>
      </x:c>
      <x:c r="L92" s="17">
        <x:v>0</x:v>
      </x:c>
      <x:c r="M92" s="8" t="s">
        <x:v>580</x:v>
      </x:c>
      <x:c r="N92" s="17">
        <x:v>1</x:v>
      </x:c>
      <x:c r="O92" s="8" t="s">
        <x:v>583</x:v>
      </x:c>
      <x:c r="P92" s="8" t="s">
        <x:v>725</x:v>
      </x:c>
      <x:c r="Q92" s="8" t="s">
        <x:v>658</x:v>
      </x:c>
      <x:c r="R92" s="8" t="s">
        <x:v>19</x:v>
      </x:c>
      <x:c r="S92" s="8" t="s">
        <x:v>7</x:v>
      </x:c>
      <x:c r="T92" s="8" t="s">
        <x:v>352</x:v>
      </x:c>
      <x:c r="U92" s="8" t="s">
        <x:v>5</x:v>
      </x:c>
      <x:c r="V92" s="8" t="str">
        <x:v>공통 확장 조합</x:v>
      </x:c>
      <x:c r="W92" s="8" t="s">
        <x:v>492</x:v>
      </x:c>
      <x:c r="X92" s="8" t="s">
        <x:v>491</x:v>
      </x:c>
      <x:c r="Y92" s="17">
        <x:v>1</x:v>
      </x:c>
    </x:row>
    <x:row r="93" ht="72" customHeight="1">
      <x:c r="A93" s="8" t="s">
        <x:v>496</x:v>
      </x:c>
      <x:c r="B93" s="8" t="s">
        <x:v>494</x:v>
      </x:c>
      <x:c r="C93" s="17">
        <x:v>1</x:v>
      </x:c>
      <x:c r="D93" s="17">
        <x:v>1</x:v>
      </x:c>
      <x:c r="E93" s="8" t="s">
        <x:v>596</x:v>
      </x:c>
      <x:c r="F93" s="8" t="s">
        <x:v>495</x:v>
      </x:c>
      <x:c r="G93" s="8" t="str">
        <x:v>{"targetMode":"singleEnemy","applyEffects":[{"effectId":"effect_v2_shock","target":"enemy","stacks":5,"value":1,"chance":100}]}</x:v>
      </x:c>
      <x:c r="H93" s="17" t="n">
        <x:v>1</x:v>
      </x:c>
      <x:c r="I93" s="8" t="s">
        <x:v>620</x:v>
      </x:c>
      <x:c r="J93" s="8" t="s">
        <x:v>582</x:v>
      </x:c>
      <x:c r="K93" s="17">
        <x:v>0</x:v>
      </x:c>
      <x:c r="L93" s="17">
        <x:v>0</x:v>
      </x:c>
      <x:c r="M93" s="8" t="s">
        <x:v>596</x:v>
      </x:c>
      <x:c r="N93" s="17">
        <x:v>1</x:v>
      </x:c>
      <x:c r="O93" s="8" t="s">
        <x:v>587</x:v>
      </x:c>
      <x:c r="P93" s="8" t="s">
        <x:v>726</x:v>
      </x:c>
      <x:c r="Q93" s="8" t="s">
        <x:v>658</x:v>
      </x:c>
      <x:c r="R93" s="8" t="s">
        <x:v>19</x:v>
      </x:c>
      <x:c r="S93" s="8" t="s">
        <x:v>8</x:v>
      </x:c>
      <x:c r="T93" s="8" t="s">
        <x:v>212</x:v>
      </x:c>
      <x:c r="U93" s="8" t="s">
        <x:v>5</x:v>
      </x:c>
      <x:c r="V93" s="8" t="str">
        <x:v>공통 확장 조합</x:v>
      </x:c>
      <x:c r="W93" s="8" t="s">
        <x:v>492</x:v>
      </x:c>
      <x:c r="X93" s="8" t="s">
        <x:v>80</x:v>
      </x:c>
      <x:c r="Y93" s="17">
        <x:v>1</x:v>
      </x:c>
    </x:row>
    <x:row r="94" ht="72" customHeight="1">
      <x:c r="A94" s="8" t="s">
        <x:v>499</x:v>
      </x:c>
      <x:c r="B94" s="8" t="s">
        <x:v>497</x:v>
      </x:c>
      <x:c r="C94" s="17">
        <x:v>1</x:v>
      </x:c>
      <x:c r="D94" s="17">
        <x:v>2</x:v>
      </x:c>
      <x:c r="E94" s="8" t="s">
        <x:v>596</x:v>
      </x:c>
      <x:c r="F94" s="8" t="s">
        <x:v>498</x:v>
      </x:c>
      <x:c r="G94" s="8" t="str">
        <x:v>{"targetMode":"allEnemies","applyEffects":[{"effectId":"effect_v2_shock","target":"allEnemies","stacks":2,"value":1,"chance":100}]}</x:v>
      </x:c>
      <x:c r="H94" s="17" t="n">
        <x:v>1</x:v>
      </x:c>
      <x:c r="I94" s="8" t="s">
        <x:v>620</x:v>
      </x:c>
      <x:c r="J94" s="8" t="s">
        <x:v>606</x:v>
      </x:c>
      <x:c r="K94" s="17">
        <x:v>0</x:v>
      </x:c>
      <x:c r="L94" s="17">
        <x:v>0</x:v>
      </x:c>
      <x:c r="M94" s="8" t="s">
        <x:v>596</x:v>
      </x:c>
      <x:c r="N94" s="17">
        <x:v>2</x:v>
      </x:c>
      <x:c r="O94" s="8" t="s">
        <x:v>583</x:v>
      </x:c>
      <x:c r="P94" s="8" t="s">
        <x:v>727</x:v>
      </x:c>
      <x:c r="Q94" s="8" t="s">
        <x:v>658</x:v>
      </x:c>
      <x:c r="R94" s="8" t="s">
        <x:v>19</x:v>
      </x:c>
      <x:c r="S94" s="8" t="s">
        <x:v>7</x:v>
      </x:c>
      <x:c r="T94" s="8" t="s">
        <x:v>207</x:v>
      </x:c>
      <x:c r="U94" s="8" t="s">
        <x:v>5</x:v>
      </x:c>
      <x:c r="V94" s="8" t="str">
        <x:v>공통 확장 조합</x:v>
      </x:c>
      <x:c r="W94" s="8" t="s">
        <x:v>492</x:v>
      </x:c>
      <x:c r="X94" s="8" t="s">
        <x:v>80</x:v>
      </x:c>
      <x:c r="Y94" s="17">
        <x:v>1</x:v>
      </x:c>
    </x:row>
    <x:row r="95" ht="72" customHeight="1">
      <x:c r="A95" s="8" t="s">
        <x:v>504</x:v>
      </x:c>
      <x:c r="B95" s="8" t="s">
        <x:v>500</x:v>
      </x:c>
      <x:c r="C95" s="17">
        <x:v>1</x:v>
      </x:c>
      <x:c r="D95" s="17">
        <x:v>2</x:v>
      </x:c>
      <x:c r="E95" s="8" t="s">
        <x:v>596</x:v>
      </x:c>
      <x:c r="F95" s="8" t="s">
        <x:v>502</x:v>
      </x:c>
      <x:c r="G95" s="8"/>
      <x:c r="H95" s="17">
        <x:v>0</x:v>
      </x:c>
      <x:c r="I95" s="8" t="s">
        <x:v>620</x:v>
      </x:c>
      <x:c r="J95" s="8" t="s">
        <x:v>582</x:v>
      </x:c>
      <x:c r="K95" s="17">
        <x:v>0</x:v>
      </x:c>
      <x:c r="L95" s="17">
        <x:v>0</x:v>
      </x:c>
      <x:c r="M95" s="8" t="s">
        <x:v>596</x:v>
      </x:c>
      <x:c r="N95" s="17">
        <x:v>1</x:v>
      </x:c>
      <x:c r="O95" s="8" t="s">
        <x:v>587</x:v>
      </x:c>
      <x:c r="P95" s="8" t="s">
        <x:v>728</x:v>
      </x:c>
      <x:c r="Q95" s="8" t="s">
        <x:v>658</x:v>
      </x:c>
      <x:c r="R95" s="8" t="s">
        <x:v>19</x:v>
      </x:c>
      <x:c r="S95" s="8" t="s">
        <x:v>8</x:v>
      </x:c>
      <x:c r="T95" s="8" t="s">
        <x:v>501</x:v>
      </x:c>
      <x:c r="U95" s="8" t="s">
        <x:v>5</x:v>
      </x:c>
      <x:c r="V95" s="8" t="str">
        <x:v>개별 연계 구현 필요</x:v>
      </x:c>
      <x:c r="W95" s="8" t="s">
        <x:v>729</x:v>
      </x:c>
      <x:c r="X95" s="8" t="s">
        <x:v>80</x:v>
      </x:c>
      <x:c r="Y95" s="17">
        <x:v>1</x:v>
      </x:c>
    </x:row>
    <x:row r="96" ht="72" customHeight="1">
      <x:c r="A96" s="8" t="s">
        <x:v>507</x:v>
      </x:c>
      <x:c r="B96" s="8" t="s">
        <x:v>505</x:v>
      </x:c>
      <x:c r="C96" s="17">
        <x:v>1</x:v>
      </x:c>
      <x:c r="D96" s="17">
        <x:v>1</x:v>
      </x:c>
      <x:c r="E96" s="8" t="s">
        <x:v>596</x:v>
      </x:c>
      <x:c r="F96" s="8" t="s">
        <x:v>506</x:v>
      </x:c>
      <x:c r="G96" s="8"/>
      <x:c r="H96" s="17">
        <x:v>0</x:v>
      </x:c>
      <x:c r="I96" s="8" t="s">
        <x:v>620</x:v>
      </x:c>
      <x:c r="J96" s="8" t="s">
        <x:v>582</x:v>
      </x:c>
      <x:c r="K96" s="17">
        <x:v>0</x:v>
      </x:c>
      <x:c r="L96" s="17">
        <x:v>0</x:v>
      </x:c>
      <x:c r="M96" s="8" t="s">
        <x:v>596</x:v>
      </x:c>
      <x:c r="N96" s="17">
        <x:v>1</x:v>
      </x:c>
      <x:c r="O96" s="8" t="s">
        <x:v>583</x:v>
      </x:c>
      <x:c r="P96" s="8" t="s">
        <x:v>730</x:v>
      </x:c>
      <x:c r="Q96" s="8" t="s">
        <x:v>658</x:v>
      </x:c>
      <x:c r="R96" s="8" t="s">
        <x:v>19</x:v>
      </x:c>
      <x:c r="S96" s="8" t="s">
        <x:v>7</x:v>
      </x:c>
      <x:c r="T96" s="8" t="s">
        <x:v>368</x:v>
      </x:c>
      <x:c r="U96" s="8" t="s">
        <x:v>5</x:v>
      </x:c>
      <x:c r="V96" s="8" t="str">
        <x:v>개별 연계 구현 필요</x:v>
      </x:c>
      <x:c r="W96" s="8" t="s">
        <x:v>729</x:v>
      </x:c>
      <x:c r="X96" s="8" t="s">
        <x:v>80</x:v>
      </x:c>
      <x:c r="Y96" s="17">
        <x:v>1</x:v>
      </x:c>
    </x:row>
    <x:row r="97" ht="72" customHeight="1">
      <x:c r="A97" s="8" t="s">
        <x:v>512</x:v>
      </x:c>
      <x:c r="B97" s="8" t="s">
        <x:v>508</x:v>
      </x:c>
      <x:c r="C97" s="17">
        <x:v>1</x:v>
      </x:c>
      <x:c r="D97" s="17">
        <x:v>4</x:v>
      </x:c>
      <x:c r="E97" s="8" t="s">
        <x:v>596</x:v>
      </x:c>
      <x:c r="F97" s="8" t="s">
        <x:v>510</x:v>
      </x:c>
      <x:c r="G97" s="8"/>
      <x:c r="H97" s="17">
        <x:v>0</x:v>
      </x:c>
      <x:c r="I97" s="8" t="s">
        <x:v>620</x:v>
      </x:c>
      <x:c r="J97" s="8" t="s">
        <x:v>582</x:v>
      </x:c>
      <x:c r="K97" s="17">
        <x:v>0</x:v>
      </x:c>
      <x:c r="L97" s="17">
        <x:v>0</x:v>
      </x:c>
      <x:c r="M97" s="8" t="s">
        <x:v>596</x:v>
      </x:c>
      <x:c r="N97" s="17">
        <x:v>1</x:v>
      </x:c>
      <x:c r="O97" s="8" t="s">
        <x:v>591</x:v>
      </x:c>
      <x:c r="P97" s="8" t="s">
        <x:v>731</x:v>
      </x:c>
      <x:c r="Q97" s="8" t="s">
        <x:v>658</x:v>
      </x:c>
      <x:c r="R97" s="8" t="s">
        <x:v>19</x:v>
      </x:c>
      <x:c r="S97" s="8" t="s">
        <x:v>9</x:v>
      </x:c>
      <x:c r="T97" s="8" t="s">
        <x:v>509</x:v>
      </x:c>
      <x:c r="U97" s="8" t="s">
        <x:v>5</x:v>
      </x:c>
      <x:c r="V97" s="8" t="str">
        <x:v>개별 연계 구현 필요</x:v>
      </x:c>
      <x:c r="W97" s="8" t="s">
        <x:v>732</x:v>
      </x:c>
      <x:c r="X97" s="8" t="s">
        <x:v>80</x:v>
      </x:c>
      <x:c r="Y97" s="17">
        <x:v>1</x:v>
      </x:c>
    </x:row>
    <x:row r="98" ht="72" customHeight="1">
      <x:c r="A98" s="8" t="s">
        <x:v>516</x:v>
      </x:c>
      <x:c r="B98" s="8" t="s">
        <x:v>513</x:v>
      </x:c>
      <x:c r="C98" s="17">
        <x:v>1</x:v>
      </x:c>
      <x:c r="D98" s="17">
        <x:v>2</x:v>
      </x:c>
      <x:c r="E98" s="8" t="s">
        <x:v>580</x:v>
      </x:c>
      <x:c r="F98" s="8" t="s">
        <x:v>515</x:v>
      </x:c>
      <x:c r="G98" s="8"/>
      <x:c r="H98" s="17">
        <x:v>0</x:v>
      </x:c>
      <x:c r="I98" s="8" t="s">
        <x:v>581</x:v>
      </x:c>
      <x:c r="J98" s="8" t="s">
        <x:v>582</x:v>
      </x:c>
      <x:c r="K98" s="17">
        <x:v>0</x:v>
      </x:c>
      <x:c r="L98" s="17">
        <x:v>0</x:v>
      </x:c>
      <x:c r="M98" s="8" t="s">
        <x:v>580</x:v>
      </x:c>
      <x:c r="N98" s="17">
        <x:v>1</x:v>
      </x:c>
      <x:c r="O98" s="8" t="s">
        <x:v>587</x:v>
      </x:c>
      <x:c r="P98" s="8" t="s">
        <x:v>733</x:v>
      </x:c>
      <x:c r="Q98" s="8" t="s">
        <x:v>658</x:v>
      </x:c>
      <x:c r="R98" s="8" t="s">
        <x:v>19</x:v>
      </x:c>
      <x:c r="S98" s="8" t="s">
        <x:v>8</x:v>
      </x:c>
      <x:c r="T98" s="8" t="s">
        <x:v>514</x:v>
      </x:c>
      <x:c r="U98" s="8" t="s">
        <x:v>5</x:v>
      </x:c>
      <x:c r="V98" s="8" t="str">
        <x:v>개별 연계 구현 필요</x:v>
      </x:c>
      <x:c r="W98" s="8" t="s">
        <x:v>732</x:v>
      </x:c>
      <x:c r="X98" s="8" t="s">
        <x:v>491</x:v>
      </x:c>
      <x:c r="Y98" s="17">
        <x:v>1</x:v>
      </x:c>
    </x:row>
    <x:row r="99" ht="72" customHeight="1">
      <x:c r="A99" s="8" t="s">
        <x:v>521</x:v>
      </x:c>
      <x:c r="B99" s="8" t="s">
        <x:v>517</x:v>
      </x:c>
      <x:c r="C99" s="17">
        <x:v>1</x:v>
      </x:c>
      <x:c r="D99" s="17">
        <x:v>2</x:v>
      </x:c>
      <x:c r="E99" s="8" t="s">
        <x:v>596</x:v>
      </x:c>
      <x:c r="F99" s="8" t="s">
        <x:v>519</x:v>
      </x:c>
      <x:c r="G99" s="8"/>
      <x:c r="H99" s="17">
        <x:v>0</x:v>
      </x:c>
      <x:c r="I99" s="8" t="s">
        <x:v>620</x:v>
      </x:c>
      <x:c r="J99" s="8" t="s">
        <x:v>582</x:v>
      </x:c>
      <x:c r="K99" s="17">
        <x:v>0</x:v>
      </x:c>
      <x:c r="L99" s="17">
        <x:v>0</x:v>
      </x:c>
      <x:c r="M99" s="8" t="s">
        <x:v>596</x:v>
      </x:c>
      <x:c r="N99" s="17">
        <x:v>1</x:v>
      </x:c>
      <x:c r="O99" s="8" t="s">
        <x:v>587</x:v>
      </x:c>
      <x:c r="P99" s="8" t="s">
        <x:v>734</x:v>
      </x:c>
      <x:c r="Q99" s="8" t="s">
        <x:v>658</x:v>
      </x:c>
      <x:c r="R99" s="8" t="s">
        <x:v>19</x:v>
      </x:c>
      <x:c r="S99" s="8" t="s">
        <x:v>8</x:v>
      </x:c>
      <x:c r="T99" s="8" t="s">
        <x:v>518</x:v>
      </x:c>
      <x:c r="U99" s="8" t="s">
        <x:v>5</x:v>
      </x:c>
      <x:c r="V99" s="8" t="str">
        <x:v>개별 연계 구현 필요</x:v>
      </x:c>
      <x:c r="W99" s="8" t="s">
        <x:v>735</x:v>
      </x:c>
      <x:c r="X99" s="8" t="s">
        <x:v>80</x:v>
      </x:c>
      <x:c r="Y99" s="17">
        <x:v>1</x:v>
      </x:c>
    </x:row>
    <x:row r="100" ht="72" customHeight="1">
      <x:c r="A100" s="8" t="s">
        <x:v>525</x:v>
      </x:c>
      <x:c r="B100" s="8" t="s">
        <x:v>522</x:v>
      </x:c>
      <x:c r="C100" s="17">
        <x:v>1</x:v>
      </x:c>
      <x:c r="D100" s="17">
        <x:v>4</x:v>
      </x:c>
      <x:c r="E100" s="8" t="s">
        <x:v>596</x:v>
      </x:c>
      <x:c r="F100" s="8" t="s">
        <x:v>524</x:v>
      </x:c>
      <x:c r="G100" s="8"/>
      <x:c r="H100" s="17">
        <x:v>0</x:v>
      </x:c>
      <x:c r="I100" s="8" t="s">
        <x:v>620</x:v>
      </x:c>
      <x:c r="J100" s="8" t="s">
        <x:v>582</x:v>
      </x:c>
      <x:c r="K100" s="17">
        <x:v>0</x:v>
      </x:c>
      <x:c r="L100" s="17">
        <x:v>0</x:v>
      </x:c>
      <x:c r="M100" s="8" t="s">
        <x:v>596</x:v>
      </x:c>
      <x:c r="N100" s="17">
        <x:v>1</x:v>
      </x:c>
      <x:c r="O100" s="8" t="s">
        <x:v>601</x:v>
      </x:c>
      <x:c r="P100" s="8" t="s">
        <x:v>736</x:v>
      </x:c>
      <x:c r="Q100" s="8" t="s">
        <x:v>658</x:v>
      </x:c>
      <x:c r="R100" s="8" t="s">
        <x:v>19</x:v>
      </x:c>
      <x:c r="S100" s="8" t="s">
        <x:v>10</x:v>
      </x:c>
      <x:c r="T100" s="8" t="s">
        <x:v>523</x:v>
      </x:c>
      <x:c r="U100" s="8" t="s">
        <x:v>5</x:v>
      </x:c>
      <x:c r="V100" s="8" t="str">
        <x:v>개별 연계 구현 필요</x:v>
      </x:c>
      <x:c r="W100" s="8" t="s">
        <x:v>729</x:v>
      </x:c>
      <x:c r="X100" s="8" t="s">
        <x:v>80</x:v>
      </x:c>
      <x:c r="Y100" s="17">
        <x:v>1</x:v>
      </x:c>
    </x:row>
    <x:row r="101" ht="72" customHeight="1">
      <x:c r="A101" s="8" t="s">
        <x:v>530</x:v>
      </x:c>
      <x:c r="B101" s="8" t="s">
        <x:v>526</x:v>
      </x:c>
      <x:c r="C101" s="17">
        <x:v>1</x:v>
      </x:c>
      <x:c r="D101" s="17">
        <x:v>4</x:v>
      </x:c>
      <x:c r="E101" s="8" t="s">
        <x:v>596</x:v>
      </x:c>
      <x:c r="F101" s="8" t="s">
        <x:v>528</x:v>
      </x:c>
      <x:c r="G101" s="8"/>
      <x:c r="H101" s="17">
        <x:v>0</x:v>
      </x:c>
      <x:c r="I101" s="8" t="s">
        <x:v>620</x:v>
      </x:c>
      <x:c r="J101" s="8" t="s">
        <x:v>582</x:v>
      </x:c>
      <x:c r="K101" s="17">
        <x:v>0</x:v>
      </x:c>
      <x:c r="L101" s="17">
        <x:v>0</x:v>
      </x:c>
      <x:c r="M101" s="8" t="s">
        <x:v>596</x:v>
      </x:c>
      <x:c r="N101" s="17">
        <x:v>1</x:v>
      </x:c>
      <x:c r="O101" s="8" t="s">
        <x:v>603</x:v>
      </x:c>
      <x:c r="P101" s="8" t="s">
        <x:v>737</x:v>
      </x:c>
      <x:c r="Q101" s="8" t="s">
        <x:v>658</x:v>
      </x:c>
      <x:c r="R101" s="8" t="s">
        <x:v>19</x:v>
      </x:c>
      <x:c r="S101" s="8" t="s">
        <x:v>11</x:v>
      </x:c>
      <x:c r="T101" s="8" t="s">
        <x:v>527</x:v>
      </x:c>
      <x:c r="U101" s="8" t="s">
        <x:v>5</x:v>
      </x:c>
      <x:c r="V101" s="8" t="str">
        <x:v>개별 연계 구현 필요</x:v>
      </x:c>
      <x:c r="W101" s="8" t="s">
        <x:v>738</x:v>
      </x:c>
      <x:c r="X101" s="8" t="s">
        <x:v>80</x:v>
      </x:c>
      <x:c r="Y101" s="17">
        <x:v>1</x:v>
      </x:c>
    </x:row>
    <x:row r="102" ht="72" customHeight="1">
      <x:c r="A102" s="8" t="s">
        <x:v>536</x:v>
      </x:c>
      <x:c r="B102" s="8" t="s">
        <x:v>531</x:v>
      </x:c>
      <x:c r="C102" s="17">
        <x:v>1</x:v>
      </x:c>
      <x:c r="D102" s="17">
        <x:v>2</x:v>
      </x:c>
      <x:c r="E102" s="8" t="s">
        <x:v>580</x:v>
      </x:c>
      <x:c r="F102" s="8" t="s">
        <x:v>533</x:v>
      </x:c>
      <x:c r="G102" s="8"/>
      <x:c r="H102" s="17">
        <x:v>0</x:v>
      </x:c>
      <x:c r="I102" s="8" t="s">
        <x:v>581</x:v>
      </x:c>
      <x:c r="J102" s="8" t="s">
        <x:v>582</x:v>
      </x:c>
      <x:c r="K102" s="17">
        <x:v>0</x:v>
      </x:c>
      <x:c r="L102" s="17">
        <x:v>0</x:v>
      </x:c>
      <x:c r="M102" s="8" t="s">
        <x:v>580</x:v>
      </x:c>
      <x:c r="N102" s="17">
        <x:v>1</x:v>
      </x:c>
      <x:c r="O102" s="8" t="s">
        <x:v>591</x:v>
      </x:c>
      <x:c r="P102" s="8" t="s">
        <x:v>739</x:v>
      </x:c>
      <x:c r="Q102" s="8" t="s">
        <x:v>658</x:v>
      </x:c>
      <x:c r="R102" s="8" t="s">
        <x:v>19</x:v>
      </x:c>
      <x:c r="S102" s="8" t="s">
        <x:v>9</x:v>
      </x:c>
      <x:c r="T102" s="8" t="s">
        <x:v>532</x:v>
      </x:c>
      <x:c r="U102" s="8" t="s">
        <x:v>98</x:v>
      </x:c>
      <x:c r="V102" s="8" t="str">
        <x:v>개별 연계 구현 필요</x:v>
      </x:c>
      <x:c r="W102" s="8" t="s">
        <x:v>740</x:v>
      </x:c>
      <x:c r="X102" s="8" t="s">
        <x:v>534</x:v>
      </x:c>
      <x:c r="Y102" s="17">
        <x:v>1</x:v>
      </x:c>
    </x:row>
    <x:row r="103" ht="72" customHeight="1">
      <x:c r="A103" s="8" t="s">
        <x:v>541</x:v>
      </x:c>
      <x:c r="B103" s="8" t="s">
        <x:v>537</x:v>
      </x:c>
      <x:c r="C103" s="17">
        <x:v>1</x:v>
      </x:c>
      <x:c r="D103" s="17">
        <x:v>3</x:v>
      </x:c>
      <x:c r="E103" s="8" t="s">
        <x:v>596</x:v>
      </x:c>
      <x:c r="F103" s="8" t="s">
        <x:v>539</x:v>
      </x:c>
      <x:c r="G103" s="8"/>
      <x:c r="H103" s="17">
        <x:v>0</x:v>
      </x:c>
      <x:c r="I103" s="8" t="s">
        <x:v>620</x:v>
      </x:c>
      <x:c r="J103" s="8" t="s">
        <x:v>582</x:v>
      </x:c>
      <x:c r="K103" s="17">
        <x:v>0</x:v>
      </x:c>
      <x:c r="L103" s="17">
        <x:v>0</x:v>
      </x:c>
      <x:c r="M103" s="8" t="s">
        <x:v>596</x:v>
      </x:c>
      <x:c r="N103" s="17">
        <x:v>1</x:v>
      </x:c>
      <x:c r="O103" s="8" t="s">
        <x:v>591</x:v>
      </x:c>
      <x:c r="P103" s="8" t="s">
        <x:v>741</x:v>
      </x:c>
      <x:c r="Q103" s="8" t="s">
        <x:v>658</x:v>
      </x:c>
      <x:c r="R103" s="8" t="s">
        <x:v>19</x:v>
      </x:c>
      <x:c r="S103" s="8" t="s">
        <x:v>9</x:v>
      </x:c>
      <x:c r="T103" s="8" t="s">
        <x:v>538</x:v>
      </x:c>
      <x:c r="U103" s="8" t="s">
        <x:v>98</x:v>
      </x:c>
      <x:c r="V103" s="8" t="str">
        <x:v>개별 연계 구현 필요</x:v>
      </x:c>
      <x:c r="W103" s="8" t="s">
        <x:v>742</x:v>
      </x:c>
      <x:c r="X103" s="8" t="s">
        <x:v>80</x:v>
      </x:c>
      <x:c r="Y103" s="17">
        <x:v>1</x:v>
      </x:c>
    </x:row>
    <x:row r="104" ht="72" customHeight="1">
      <x:c r="A104" s="8" t="s">
        <x:v>546</x:v>
      </x:c>
      <x:c r="B104" s="8" t="s">
        <x:v>542</x:v>
      </x:c>
      <x:c r="C104" s="17">
        <x:v>1</x:v>
      </x:c>
      <x:c r="D104" s="17">
        <x:v>3</x:v>
      </x:c>
      <x:c r="E104" s="8" t="s">
        <x:v>580</x:v>
      </x:c>
      <x:c r="F104" s="8" t="s">
        <x:v>544</x:v>
      </x:c>
      <x:c r="G104" s="8"/>
      <x:c r="H104" s="17">
        <x:v>0</x:v>
      </x:c>
      <x:c r="I104" s="8" t="s">
        <x:v>593</x:v>
      </x:c>
      <x:c r="J104" s="8" t="s">
        <x:v>594</x:v>
      </x:c>
      <x:c r="K104" s="17">
        <x:v>0</x:v>
      </x:c>
      <x:c r="L104" s="17">
        <x:v>0</x:v>
      </x:c>
      <x:c r="M104" s="8" t="s">
        <x:v>580</x:v>
      </x:c>
      <x:c r="N104" s="17">
        <x:v>1</x:v>
      </x:c>
      <x:c r="O104" s="8" t="s">
        <x:v>591</x:v>
      </x:c>
      <x:c r="P104" s="8" t="s">
        <x:v>743</x:v>
      </x:c>
      <x:c r="Q104" s="8" t="s">
        <x:v>658</x:v>
      </x:c>
      <x:c r="R104" s="8" t="s">
        <x:v>19</x:v>
      </x:c>
      <x:c r="S104" s="8" t="s">
        <x:v>9</x:v>
      </x:c>
      <x:c r="T104" s="8" t="s">
        <x:v>543</x:v>
      </x:c>
      <x:c r="U104" s="8" t="s">
        <x:v>98</x:v>
      </x:c>
      <x:c r="V104" s="8" t="str">
        <x:v>개별 연계 구현 필요</x:v>
      </x:c>
      <x:c r="W104" s="8" t="s">
        <x:v>744</x:v>
      </x:c>
      <x:c r="X104" s="8" t="s">
        <x:v>274</x:v>
      </x:c>
      <x:c r="Y104" s="17">
        <x:v>1</x:v>
      </x:c>
    </x:row>
    <x:row r="105" ht="72" customHeight="1">
      <x:c r="A105" s="8" t="s">
        <x:v>551</x:v>
      </x:c>
      <x:c r="B105" s="8" t="s">
        <x:v>547</x:v>
      </x:c>
      <x:c r="C105" s="17">
        <x:v>1</x:v>
      </x:c>
      <x:c r="D105" s="17">
        <x:v>3</x:v>
      </x:c>
      <x:c r="E105" s="8" t="s">
        <x:v>596</x:v>
      </x:c>
      <x:c r="F105" s="8" t="s">
        <x:v>549</x:v>
      </x:c>
      <x:c r="G105" s="8"/>
      <x:c r="H105" s="17">
        <x:v>0</x:v>
      </x:c>
      <x:c r="I105" s="8" t="s">
        <x:v>597</x:v>
      </x:c>
      <x:c r="J105" s="8" t="s">
        <x:v>582</x:v>
      </x:c>
      <x:c r="K105" s="17">
        <x:v>0</x:v>
      </x:c>
      <x:c r="L105" s="17">
        <x:v>0</x:v>
      </x:c>
      <x:c r="M105" s="8" t="s">
        <x:v>596</x:v>
      </x:c>
      <x:c r="N105" s="17">
        <x:v>1</x:v>
      </x:c>
      <x:c r="O105" s="8" t="s">
        <x:v>609</x:v>
      </x:c>
      <x:c r="P105" s="8" t="s">
        <x:v>745</x:v>
      </x:c>
      <x:c r="Q105" s="8" t="s">
        <x:v>658</x:v>
      </x:c>
      <x:c r="R105" s="8" t="s">
        <x:v>19</x:v>
      </x:c>
      <x:c r="S105" s="8" t="s">
        <x:v>12</x:v>
      </x:c>
      <x:c r="T105" s="8" t="s">
        <x:v>548</x:v>
      </x:c>
      <x:c r="U105" s="8" t="s">
        <x:v>98</x:v>
      </x:c>
      <x:c r="V105" s="8" t="str">
        <x:v>개별 연계 구현 필요</x:v>
      </x:c>
      <x:c r="W105" s="8" t="s">
        <x:v>746</x:v>
      </x:c>
      <x:c r="X105" s="8" t="s">
        <x:v>80</x:v>
      </x:c>
      <x:c r="Y105" s="17">
        <x:v>1</x:v>
      </x:c>
    </x:row>
    <x:row r="106" ht="72" customHeight="1">
      <x:c r="A106" s="8" t="s">
        <x:v>555</x:v>
      </x:c>
      <x:c r="B106" s="8" t="s">
        <x:v>552</x:v>
      </x:c>
      <x:c r="C106" s="17">
        <x:v>1</x:v>
      </x:c>
      <x:c r="D106" s="17">
        <x:v>5</x:v>
      </x:c>
      <x:c r="E106" s="8" t="s">
        <x:v>596</x:v>
      </x:c>
      <x:c r="F106" s="8" t="s">
        <x:v>554</x:v>
      </x:c>
      <x:c r="G106" s="8"/>
      <x:c r="H106" s="17">
        <x:v>0</x:v>
      </x:c>
      <x:c r="I106" s="8" t="s">
        <x:v>620</x:v>
      </x:c>
      <x:c r="J106" s="8" t="s">
        <x:v>606</x:v>
      </x:c>
      <x:c r="K106" s="17">
        <x:v>0</x:v>
      </x:c>
      <x:c r="L106" s="17">
        <x:v>0</x:v>
      </x:c>
      <x:c r="M106" s="8" t="s">
        <x:v>596</x:v>
      </x:c>
      <x:c r="N106" s="17">
        <x:v>2</x:v>
      </x:c>
      <x:c r="O106" s="8" t="s">
        <x:v>601</x:v>
      </x:c>
      <x:c r="P106" s="8" t="s">
        <x:v>747</x:v>
      </x:c>
      <x:c r="Q106" s="8" t="s">
        <x:v>658</x:v>
      </x:c>
      <x:c r="R106" s="8" t="s">
        <x:v>19</x:v>
      </x:c>
      <x:c r="S106" s="8" t="s">
        <x:v>10</x:v>
      </x:c>
      <x:c r="T106" s="8" t="s">
        <x:v>553</x:v>
      </x:c>
      <x:c r="U106" s="8" t="s">
        <x:v>98</x:v>
      </x:c>
      <x:c r="V106" s="8" t="str">
        <x:v>개별 연계 구현 필요</x:v>
      </x:c>
      <x:c r="W106" s="8" t="s">
        <x:v>732</x:v>
      </x:c>
      <x:c r="X106" s="8" t="s">
        <x:v>80</x:v>
      </x:c>
      <x:c r="Y106" s="17">
        <x:v>1</x:v>
      </x:c>
    </x:row>
  </x:sheetData>
  <x:conditionalFormatting sqref="V2:V106">
    <x:cfRule type="containsText" dxfId="0" priority="1" operator="containsText"/>
  </x:conditionalFormatting>
  <x:conditionalFormatting sqref="S2:S106">
    <x:cfRule type="containsText" dxfId="0" priority="7" operator="containsText"/>
    <x:cfRule type="containsText" dxfId="0" priority="6" operator="containsText"/>
    <x:cfRule type="containsText" dxfId="0" priority="5" operator="containsText"/>
    <x:cfRule type="containsText" dxfId="0" priority="4" operator="containsText"/>
    <x:cfRule type="containsText" dxfId="0" priority="3" operator="containsText"/>
    <x:cfRule type="containsText" dxfId="0" priority="2" operator="containsText"/>
  </x:conditionalFormatting>
  <x:dataValidations count="2">
    <x:dataValidation type="list" sqref="O2:O106">
      <x:formula1>"common,uncommon,rare,epic,legendary,unique"</x:formula1>
    </x:dataValidation>
    <x:dataValidation type="list" sqref="R2:R106">
      <x:formula1>"타격,암살,발화,빙결,중독,행운,감전"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6306a75a0b490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ColWidth="9.00390625" defaultRowHeight="13.550000190734863"/>
  <x:cols>
    <x:col min="1" max="1" width="28" customWidth="1"/>
    <x:col min="2" max="2" width="22" customWidth="1"/>
    <x:col min="3" max="3" width="14" customWidth="1"/>
    <x:col min="4" max="4" width="12" customWidth="1"/>
    <x:col min="5" max="6" width="14" customWidth="1"/>
    <x:col min="7" max="8" width="12" customWidth="1"/>
    <x:col min="9" max="9" width="22" customWidth="1"/>
    <x:col min="10" max="10" width="16" customWidth="1"/>
    <x:col min="11" max="12" width="14" customWidth="1"/>
    <x:col min="13" max="13" width="23" customWidth="1"/>
    <x:col min="14" max="14" width="77" customWidth="1"/>
    <x:col min="15" max="15" width="13" customWidth="1"/>
    <x:col min="16" max="16" width="20" customWidth="1"/>
    <x:col min="17" max="17" width="15" customWidth="1"/>
    <x:col min="18" max="18" width="12" customWidth="1"/>
    <x:col min="19" max="19" width="13" customWidth="1"/>
    <x:col min="20" max="20" width="22" customWidth="1"/>
    <x:col min="21" max="21" width="40" customWidth="1"/>
    <x:col min="22" max="22" width="90" customWidth="1"/>
  </x:cols>
  <x:sheetData>
    <x:row r="1" ht="32" customHeight="1">
      <x:c r="A1" s="5" t="s">
        <x:v>748</x:v>
      </x:c>
      <x:c r="B1" s="6" t="s">
        <x:v>556</x:v>
      </x:c>
      <x:c r="C1" s="6" t="s">
        <x:v>749</x:v>
      </x:c>
      <x:c r="D1" s="6" t="s">
        <x:v>565</x:v>
      </x:c>
      <x:c r="E1" s="6" t="s">
        <x:v>750</x:v>
      </x:c>
      <x:c r="F1" s="6" t="s">
        <x:v>751</x:v>
      </x:c>
      <x:c r="G1" s="6" t="s">
        <x:v>752</x:v>
      </x:c>
      <x:c r="H1" s="6" t="s">
        <x:v>753</x:v>
      </x:c>
      <x:c r="I1" s="6" t="s">
        <x:v>754</x:v>
      </x:c>
      <x:c r="J1" s="6" t="s">
        <x:v>755</x:v>
      </x:c>
      <x:c r="K1" s="6" t="s">
        <x:v>756</x:v>
      </x:c>
      <x:c r="L1" s="6" t="s">
        <x:v>757</x:v>
      </x:c>
      <x:c r="M1" s="6" t="s">
        <x:v>758</x:v>
      </x:c>
      <x:c r="N1" s="6" t="s">
        <x:v>560</x:v>
      </x:c>
      <x:c r="O1" s="6" t="s">
        <x:v>759</x:v>
      </x:c>
      <x:c r="P1" s="6" t="s">
        <x:v>760</x:v>
      </x:c>
      <x:c r="Q1" s="6" t="s">
        <x:v>761</x:v>
      </x:c>
      <x:c r="R1" s="6" t="s">
        <x:v>762</x:v>
      </x:c>
      <x:c r="S1" s="6" t="s">
        <x:v>763</x:v>
      </x:c>
      <x:c r="T1" s="6" t="s">
        <x:v>764</x:v>
      </x:c>
      <x:c r="U1" s="7" t="s">
        <x:v>765</x:v>
      </x:c>
      <x:c r="V1" s="7" t="str">
        <x:v>behaviorJson</x:v>
      </x:c>
    </x:row>
    <x:row r="2" ht="73" customHeight="1">
      <x:c r="A2" s="8" t="s">
        <x:v>766</x:v>
      </x:c>
      <x:c r="B2" s="8" t="s">
        <x:v>15</x:v>
      </x:c>
      <x:c r="C2" s="8" t="s">
        <x:v>620</x:v>
      </x:c>
      <x:c r="D2" s="8">
        <x:v>1</x:v>
      </x:c>
      <x:c r="E2" s="8" t="s">
        <x:v>767</x:v>
      </x:c>
      <x:c r="F2" s="8">
        <x:v>0</x:v>
      </x:c>
      <x:c r="G2" s="8" t="s">
        <x:v>768</x:v>
      </x:c>
      <x:c r="H2" s="8">
        <x:v>99</x:v>
      </x:c>
      <x:c r="I2" s="8" t="s">
        <x:v>769</x:v>
      </x:c>
      <x:c r="J2" s="8" t="s">
        <x:v>770</x:v>
      </x:c>
      <x:c r="K2" s="8" t="s">
        <x:v>771</x:v>
      </x:c>
      <x:c r="L2" s="8">
        <x:v>1</x:v>
      </x:c>
      <x:c r="M2" t="b">
        <x:v>0</x:v>
      </x:c>
      <x:c r="N2" s="8" t="s">
        <x:v>772</x:v>
      </x:c>
      <x:c r="O2" s="8">
        <x:v>2</x:v>
      </x:c>
      <x:c r="P2" s="8" t="s">
        <x:v>773</x:v>
      </x:c>
      <x:c r="Q2" s="8" t="s">
        <x:v>774</x:v>
      </x:c>
      <x:c r="R2" s="8">
        <x:v>1</x:v>
      </x:c>
      <x:c r="S2" t="b">
        <x:v>1</x:v>
      </x:c>
      <x:c r="T2" s="8" t="s">
        <x:v>775</x:v>
      </x:c>
      <x:c r="U2" s="8" t="s">
        <x:v>776</x:v>
      </x:c>
    </x:row>
    <x:row r="3" ht="73" customHeight="1">
      <x:c r="A3" s="8" t="s">
        <x:v>777</x:v>
      </x:c>
      <x:c r="B3" s="8" t="s">
        <x:v>17</x:v>
      </x:c>
      <x:c r="C3" s="8" t="s">
        <x:v>620</x:v>
      </x:c>
      <x:c r="D3" s="8">
        <x:v>1</x:v>
      </x:c>
      <x:c r="E3" s="8" t="s">
        <x:v>767</x:v>
      </x:c>
      <x:c r="F3" s="8">
        <x:v>0</x:v>
      </x:c>
      <x:c r="G3" s="8" t="s">
        <x:v>768</x:v>
      </x:c>
      <x:c r="H3" s="8">
        <x:v>99</x:v>
      </x:c>
      <x:c r="I3" s="8" t="s">
        <x:v>769</x:v>
      </x:c>
      <x:c r="J3" s="8" t="s">
        <x:v>770</x:v>
      </x:c>
      <x:c r="K3" s="8" t="s">
        <x:v>771</x:v>
      </x:c>
      <x:c r="L3" s="8">
        <x:v>1</x:v>
      </x:c>
      <x:c r="M3" t="b">
        <x:v>0</x:v>
      </x:c>
      <x:c r="N3" s="8" t="s">
        <x:v>778</x:v>
      </x:c>
      <x:c r="O3" s="8">
        <x:v>2</x:v>
      </x:c>
      <x:c r="P3" s="8" t="s">
        <x:v>773</x:v>
      </x:c>
      <x:c r="Q3" s="8" t="s">
        <x:v>774</x:v>
      </x:c>
      <x:c r="R3" s="8">
        <x:v>1</x:v>
      </x:c>
      <x:c r="S3" t="b">
        <x:v>1</x:v>
      </x:c>
      <x:c r="T3" s="8" t="s">
        <x:v>779</x:v>
      </x:c>
      <x:c r="U3" s="8" t="s">
        <x:v>780</x:v>
      </x:c>
    </x:row>
    <x:row r="4" ht="73" customHeight="1">
      <x:c r="A4" s="8" t="s">
        <x:v>781</x:v>
      </x:c>
      <x:c r="B4" s="8" t="s">
        <x:v>782</x:v>
      </x:c>
      <x:c r="C4" s="8" t="s">
        <x:v>620</x:v>
      </x:c>
      <x:c r="D4" s="8">
        <x:v>-20</x:v>
      </x:c>
      <x:c r="E4" s="8" t="s">
        <x:v>767</x:v>
      </x:c>
      <x:c r="F4" s="8">
        <x:v>2</x:v>
      </x:c>
      <x:c r="G4" s="8" t="s">
        <x:v>783</x:v>
      </x:c>
      <x:c r="H4" s="8">
        <x:v>1</x:v>
      </x:c>
      <x:c r="I4" s="8" t="s">
        <x:v>769</x:v>
      </x:c>
      <x:c r="J4" s="8" t="s">
        <x:v>784</x:v>
      </x:c>
      <x:c r="K4" s="8" t="s">
        <x:v>658</x:v>
      </x:c>
      <x:c r="L4" s="8">
        <x:v>0</x:v>
      </x:c>
      <x:c r="M4" t="b">
        <x:v>1</x:v>
      </x:c>
      <x:c r="N4" s="8" t="s">
        <x:v>785</x:v>
      </x:c>
      <x:c r="O4" s="8">
        <x:v>2</x:v>
      </x:c>
      <x:c r="P4" s="8" t="s">
        <x:v>786</x:v>
      </x:c>
      <x:c r="Q4" s="8" t="s">
        <x:v>787</x:v>
      </x:c>
      <x:c r="R4" s="8">
        <x:v>-20</x:v>
      </x:c>
      <x:c r="S4" t="b">
        <x:v>0</x:v>
      </x:c>
      <x:c r="T4" s="8" t="s">
        <x:v>788</x:v>
      </x:c>
      <x:c r="U4" s="8"/>
    </x:row>
    <x:row r="5" ht="73" customHeight="1">
      <x:c r="A5" s="8" t="s">
        <x:v>789</x:v>
      </x:c>
      <x:c r="B5" s="8" t="s">
        <x:v>790</x:v>
      </x:c>
      <x:c r="C5" s="8" t="s">
        <x:v>620</x:v>
      </x:c>
      <x:c r="D5" s="8">
        <x:v>-20</x:v>
      </x:c>
      <x:c r="E5" s="8" t="s">
        <x:v>767</x:v>
      </x:c>
      <x:c r="F5" s="8">
        <x:v>1</x:v>
      </x:c>
      <x:c r="G5" s="8" t="s">
        <x:v>783</x:v>
      </x:c>
      <x:c r="H5" s="8">
        <x:v>1</x:v>
      </x:c>
      <x:c r="I5" s="8" t="s">
        <x:v>769</x:v>
      </x:c>
      <x:c r="J5" s="8" t="s">
        <x:v>784</x:v>
      </x:c>
      <x:c r="K5" s="8" t="s">
        <x:v>658</x:v>
      </x:c>
      <x:c r="L5" s="8">
        <x:v>0</x:v>
      </x:c>
      <x:c r="M5" t="b">
        <x:v>1</x:v>
      </x:c>
      <x:c r="N5" s="8" t="s">
        <x:v>791</x:v>
      </x:c>
      <x:c r="O5" s="8">
        <x:v>2</x:v>
      </x:c>
      <x:c r="P5" s="8" t="s">
        <x:v>792</x:v>
      </x:c>
      <x:c r="Q5" s="8" t="s">
        <x:v>774</x:v>
      </x:c>
      <x:c r="R5" s="8">
        <x:v>-20</x:v>
      </x:c>
      <x:c r="S5" t="b">
        <x:v>0</x:v>
      </x:c>
      <x:c r="T5" s="8" t="s">
        <x:v>788</x:v>
      </x:c>
      <x:c r="U5" s="8"/>
    </x:row>
    <x:row r="6" ht="73" customHeight="1">
      <x:c r="A6" s="8" t="s">
        <x:v>793</x:v>
      </x:c>
      <x:c r="B6" s="8" t="s">
        <x:v>794</x:v>
      </x:c>
      <x:c r="C6" s="8" t="s">
        <x:v>597</x:v>
      </x:c>
      <x:c r="D6" s="8">
        <x:v>20</x:v>
      </x:c>
      <x:c r="E6" s="8" t="s">
        <x:v>767</x:v>
      </x:c>
      <x:c r="F6" s="8">
        <x:v>1</x:v>
      </x:c>
      <x:c r="G6" s="8" t="s">
        <x:v>783</x:v>
      </x:c>
      <x:c r="H6" s="8">
        <x:v>1</x:v>
      </x:c>
      <x:c r="I6" s="8" t="s">
        <x:v>769</x:v>
      </x:c>
      <x:c r="J6" s="8" t="s">
        <x:v>784</x:v>
      </x:c>
      <x:c r="K6" s="8" t="s">
        <x:v>658</x:v>
      </x:c>
      <x:c r="L6" s="8">
        <x:v>0</x:v>
      </x:c>
      <x:c r="M6" t="b">
        <x:v>1</x:v>
      </x:c>
      <x:c r="N6" s="8" t="s">
        <x:v>795</x:v>
      </x:c>
      <x:c r="O6" s="8">
        <x:v>2</x:v>
      </x:c>
      <x:c r="P6" s="8" t="s">
        <x:v>796</x:v>
      </x:c>
      <x:c r="Q6" s="8" t="s">
        <x:v>774</x:v>
      </x:c>
      <x:c r="R6" s="8">
        <x:v>20</x:v>
      </x:c>
      <x:c r="S6" t="b">
        <x:v>0</x:v>
      </x:c>
      <x:c r="T6" s="8" t="s">
        <x:v>788</x:v>
      </x:c>
      <x:c r="U6" s="8"/>
    </x:row>
    <x:row r="7" ht="73" customHeight="1">
      <x:c r="A7" s="8" t="s">
        <x:v>797</x:v>
      </x:c>
      <x:c r="B7" s="8" t="s">
        <x:v>798</x:v>
      </x:c>
      <x:c r="C7" s="8" t="s">
        <x:v>597</x:v>
      </x:c>
      <x:c r="D7" s="8">
        <x:v>20</x:v>
      </x:c>
      <x:c r="E7" s="8" t="s">
        <x:v>767</x:v>
      </x:c>
      <x:c r="F7" s="8">
        <x:v>1</x:v>
      </x:c>
      <x:c r="G7" s="8" t="s">
        <x:v>783</x:v>
      </x:c>
      <x:c r="H7" s="8">
        <x:v>1</x:v>
      </x:c>
      <x:c r="I7" s="8" t="s">
        <x:v>769</x:v>
      </x:c>
      <x:c r="J7" s="8" t="s">
        <x:v>784</x:v>
      </x:c>
      <x:c r="K7" s="8" t="s">
        <x:v>658</x:v>
      </x:c>
      <x:c r="L7" s="8">
        <x:v>0</x:v>
      </x:c>
      <x:c r="M7" t="b">
        <x:v>1</x:v>
      </x:c>
      <x:c r="N7" s="8" t="s">
        <x:v>799</x:v>
      </x:c>
      <x:c r="O7" s="8">
        <x:v>2</x:v>
      </x:c>
      <x:c r="P7" s="8" t="s">
        <x:v>800</x:v>
      </x:c>
      <x:c r="Q7" s="8" t="s">
        <x:v>774</x:v>
      </x:c>
      <x:c r="R7" s="8">
        <x:v>20</x:v>
      </x:c>
      <x:c r="S7" t="b">
        <x:v>0</x:v>
      </x:c>
      <x:c r="T7" s="8" t="s">
        <x:v>788</x:v>
      </x:c>
      <x:c r="U7" s="8"/>
    </x:row>
    <x:row r="8" ht="88" customHeight="1">
      <x:c r="A8" s="8" t="s">
        <x:v>801</x:v>
      </x:c>
      <x:c r="B8" s="8" t="s">
        <x:v>802</x:v>
      </x:c>
      <x:c r="C8" s="8" t="s">
        <x:v>620</x:v>
      </x:c>
      <x:c r="D8" s="8">
        <x:v>1</x:v>
      </x:c>
      <x:c r="E8" s="8" t="s">
        <x:v>803</x:v>
      </x:c>
      <x:c r="F8" s="8">
        <x:v>0</x:v>
      </x:c>
      <x:c r="G8" s="8" t="s">
        <x:v>768</x:v>
      </x:c>
      <x:c r="H8" s="8">
        <x:v>20</x:v>
      </x:c>
      <x:c r="I8" s="8" t="s">
        <x:v>804</x:v>
      </x:c>
      <x:c r="J8" s="8" t="s">
        <x:v>784</x:v>
      </x:c>
      <x:c r="K8" s="8" t="s">
        <x:v>658</x:v>
      </x:c>
      <x:c r="L8" s="8">
        <x:v>0</x:v>
      </x:c>
      <x:c r="M8" t="b">
        <x:v>0</x:v>
      </x:c>
      <x:c r="N8" s="8" t="s">
        <x:v>805</x:v>
      </x:c>
      <x:c r="O8" s="8">
        <x:v>2</x:v>
      </x:c>
      <x:c r="P8" s="8" t="s">
        <x:v>796</x:v>
      </x:c>
      <x:c r="Q8" s="8" t="s">
        <x:v>774</x:v>
      </x:c>
      <x:c r="R8" s="8">
        <x:v>1</x:v>
      </x:c>
      <x:c r="S8" t="b">
        <x:v>1</x:v>
      </x:c>
      <x:c r="T8" s="8" t="s">
        <x:v>788</x:v>
      </x:c>
      <x:c r="U8" s="8"/>
    </x:row>
    <x:row r="9" ht="88" customHeight="1">
      <x:c r="A9" s="8" t="str">
        <x:v>effect_v2_freeze</x:v>
      </x:c>
      <x:c r="B9" s="8" t="str">
        <x:v>빙결</x:v>
      </x:c>
      <x:c r="C9" s="8" t="str">
        <x:v>debuff</x:v>
      </x:c>
      <x:c r="D9" s="8" t="n">
        <x:v>0</x:v>
      </x:c>
      <x:c r="E9" s="8" t="str">
        <x:v>stage</x:v>
      </x:c>
      <x:c r="F9" s="8" t="n">
        <x:v>0</x:v>
      </x:c>
      <x:c r="G9" s="8" t="str">
        <x:v>replace</x:v>
      </x:c>
      <x:c r="H9" s="8" t="n">
        <x:v>1</x:v>
      </x:c>
      <x:c r="I9" s="8" t="str">
        <x:v>keep</x:v>
      </x:c>
      <x:c r="J9" s="8" t="str">
        <x:v>turns</x:v>
      </x:c>
      <x:c r="K9" s="8" t="str">
        <x:v>none</x:v>
      </x:c>
      <x:c r="L9" s="8" t="n">
        <x:v>0</x:v>
      </x:c>
      <x:c r="M9" t="b">
        <x:v>0</x:v>
      </x:c>
      <x:c r="N9" s="8" t="str">
        <x:v>다음 대상 턴 행동 1회 스킵 후 유지. 그다음 대상 턴 시작에 해제. 직접 피격 시 냉기 스택당 5 추가 피해.</x:v>
      </x:c>
      <x:c r="O9" s="8" t="n">
        <x:v>2</x:v>
      </x:c>
      <x:c r="P9" s="8" t="str">
        <x:v>action</x:v>
      </x:c>
      <x:c r="Q9" s="8" t="str">
        <x:v>control</x:v>
      </x:c>
      <x:c r="R9" s="8" t="n">
        <x:v>0</x:v>
      </x:c>
      <x:c r="S9" t="b">
        <x:v>0</x:v>
      </x:c>
      <x:c r="T9" s="8" t="str">
        <x:v>passive</x:v>
      </x:c>
      <x:c r="V9" s="8" t="str">
        <x:v>{"control":{"skipActions":1,"breakOnDirectHit":true,"stackEffectId":"effect_v2_chill","damagePerStack":5}}</x:v>
      </x:c>
    </x:row>
    <x:row r="10" ht="88" customHeight="1">
      <x:c r="A10" s="8" t="str">
        <x:v>effect_v2_self_freeze_guard</x:v>
      </x:c>
      <x:c r="B10" s="8" t="str">
        <x:v>자기 빙결·얼음관</x:v>
      </x:c>
      <x:c r="C10" s="8" t="str">
        <x:v>buff</x:v>
      </x:c>
      <x:c r="D10" s="8" t="n">
        <x:v>20</x:v>
      </x:c>
      <x:c r="E10" s="8" t="str">
        <x:v>stage</x:v>
      </x:c>
      <x:c r="F10" s="8" t="n">
        <x:v>0</x:v>
      </x:c>
      <x:c r="G10" s="8" t="str">
        <x:v>replace</x:v>
      </x:c>
      <x:c r="H10" s="8" t="n">
        <x:v>1</x:v>
      </x:c>
      <x:c r="I10" s="8" t="str">
        <x:v>keep</x:v>
      </x:c>
      <x:c r="J10" s="8" t="str">
        <x:v>turns</x:v>
      </x:c>
      <x:c r="K10" s="8" t="str">
        <x:v>none</x:v>
      </x:c>
      <x:c r="L10" s="8" t="n">
        <x:v>0</x:v>
      </x:c>
      <x:c r="M10" t="b">
        <x:v>0</x:v>
      </x:c>
      <x:c r="N10" s="8" t="str">
        <x:v>즉시 남은 행동과 다음 자기 턴 차단. 그다음 자기 턴 시작에 자연 해제하며 value%만큼 잃은 체력 회복. 출처 방어막만 유지.</x:v>
      </x:c>
      <x:c r="O10" s="8" t="n">
        <x:v>2</x:v>
      </x:c>
      <x:c r="P10" s="8" t="str">
        <x:v>action</x:v>
      </x:c>
      <x:c r="Q10" s="8" t="str">
        <x:v>control</x:v>
      </x:c>
      <x:c r="R10" s="8" t="n">
        <x:v>20</x:v>
      </x:c>
      <x:c r="S10" t="b">
        <x:v>0</x:v>
      </x:c>
      <x:c r="T10" s="8" t="str">
        <x:v>passive</x:v>
      </x:c>
      <x:c r="V10" s="8" t="str">
        <x:v>{"control":{"skipActions":1,"blockImmediately":true,"healMissingFromValue":true},"retainShield":true}</x:v>
      </x:c>
    </x:row>
    <x:row r="11" ht="88" customHeight="1">
      <x:c r="A11" s="8" t="str">
        <x:v>effect_v2_self_freeze_immune</x:v>
      </x:c>
      <x:c r="B11" s="8" t="str">
        <x:v>자기 빙결·무적</x:v>
      </x:c>
      <x:c r="C11" s="8" t="str">
        <x:v>buff</x:v>
      </x:c>
      <x:c r="D11" s="8" t="n">
        <x:v>0</x:v>
      </x:c>
      <x:c r="E11" s="8" t="str">
        <x:v>stage</x:v>
      </x:c>
      <x:c r="F11" s="8" t="n">
        <x:v>0</x:v>
      </x:c>
      <x:c r="G11" s="8" t="str">
        <x:v>replace</x:v>
      </x:c>
      <x:c r="H11" s="8" t="n">
        <x:v>1</x:v>
      </x:c>
      <x:c r="I11" s="8" t="str">
        <x:v>keep</x:v>
      </x:c>
      <x:c r="J11" s="8" t="str">
        <x:v>turns</x:v>
      </x:c>
      <x:c r="K11" s="8" t="str">
        <x:v>none</x:v>
      </x:c>
      <x:c r="L11" s="8" t="n">
        <x:v>0</x:v>
      </x:c>
      <x:c r="M11" t="b">
        <x:v>0</x:v>
      </x:c>
      <x:c r="N11" s="8" t="str">
        <x:v>자기 빙결 중 직접·지속·반사 피해 무효. 자연 해제 시 무적도 해제. 체력 비용은 면제하지 않음.</x:v>
      </x:c>
      <x:c r="O11" s="8" t="n">
        <x:v>2</x:v>
      </x:c>
      <x:c r="P11" s="8" t="str">
        <x:v>action</x:v>
      </x:c>
      <x:c r="Q11" s="8" t="str">
        <x:v>control</x:v>
      </x:c>
      <x:c r="R11" s="8" t="n">
        <x:v>0</x:v>
      </x:c>
      <x:c r="S11" t="b">
        <x:v>0</x:v>
      </x:c>
      <x:c r="T11" s="8" t="str">
        <x:v>passive</x:v>
      </x:c>
      <x:c r="V11" s="8" t="str">
        <x:v>{"control":{"skipActions":1,"blockImmediately":true},"invulnerable":true}</x:v>
      </x:c>
    </x:row>
    <x:row r="12" ht="88" customHeight="1">
      <x:c r="A12" s="8" t="str">
        <x:v>effect_v2_shock</x:v>
      </x:c>
      <x:c r="B12" s="8" t="str">
        <x:v>감전</x:v>
      </x:c>
      <x:c r="C12" s="8" t="str">
        <x:v>debuff</x:v>
      </x:c>
      <x:c r="D12" s="8" t="n">
        <x:v>1</x:v>
      </x:c>
      <x:c r="E12" s="8" t="str">
        <x:v>turn</x:v>
      </x:c>
      <x:c r="F12" s="8" t="n">
        <x:v>0</x:v>
      </x:c>
      <x:c r="G12" s="8" t="str">
        <x:v>add</x:v>
      </x:c>
      <x:c r="H12" s="8" t="n">
        <x:v>99</x:v>
      </x:c>
      <x:c r="I12" s="8" t="str">
        <x:v>keep</x:v>
      </x:c>
      <x:c r="J12" s="8" t="str">
        <x:v>stacks</x:v>
      </x:c>
      <x:c r="K12" s="8" t="str">
        <x:v>turnStart</x:v>
      </x:c>
      <x:c r="L12" s="8" t="n">
        <x:v>1</x:v>
      </x:c>
      <x:c r="M12" t="b">
        <x:v>0</x:v>
      </x:c>
      <x:c r="N12" s="8" t="str">
        <x:v>직접 공격 명중마다 기존 스택만큼 고정 추가 피해. 다음 플레이어 턴 시작에 1스택 감소. 추가 피해는 재귀 발동하지 않음.</x:v>
      </x:c>
      <x:c r="O12" s="8" t="n">
        <x:v>2</x:v>
      </x:c>
      <x:c r="Q12" s="8" t="str">
        <x:v>flat</x:v>
      </x:c>
      <x:c r="R12" s="8" t="n">
        <x:v>1</x:v>
      </x:c>
      <x:c r="S12" t="b">
        <x:v>1</x:v>
      </x:c>
      <x:c r="T12" s="8" t="str">
        <x:v>onHit</x:v>
      </x:c>
      <x:c r="V12" s="8" t="str">
        <x:v>{"hitDamage":{"damagePerStack":1}}</x:v>
      </x:c>
    </x:row>
  </x:sheetData>
  <x:pageMargins left="0.7" right="0.7" top="0.75" bottom="0.75" header="0.3" footer="0.3"/>
  <x:tableParts count="1">
    <x:tablePart xmlns:r="http://schemas.openxmlformats.org/officeDocument/2006/relationships" r:id="R77bf3a10cdb04c2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9.00390625" defaultRowHeight="13.550000190734863"/>
  <x:cols>
    <x:col min="1" max="1" width="28" customWidth="1"/>
    <x:col min="2" max="2" width="11" customWidth="1"/>
    <x:col min="3" max="3" width="24" customWidth="1"/>
    <x:col min="4" max="4" width="19" customWidth="1"/>
    <x:col min="5" max="5" width="15" customWidth="1"/>
    <x:col min="6" max="6" width="14" customWidth="1"/>
    <x:col min="7" max="7" width="39" customWidth="1"/>
    <x:col min="8" max="8" width="15" customWidth="1"/>
    <x:col min="9" max="9" width="77" customWidth="1"/>
  </x:cols>
  <x:sheetData>
    <x:row r="1" ht="32" customHeight="1">
      <x:c r="A1" s="5" t="s">
        <x:v>748</x:v>
      </x:c>
      <x:c r="B1" s="6" t="s">
        <x:v>806</x:v>
      </x:c>
      <x:c r="C1" s="6" t="s">
        <x:v>764</x:v>
      </x:c>
      <x:c r="D1" s="6" t="s">
        <x:v>807</x:v>
      </x:c>
      <x:c r="E1" s="6" t="s">
        <x:v>760</x:v>
      </x:c>
      <x:c r="F1" s="6" t="s">
        <x:v>808</x:v>
      </x:c>
      <x:c r="G1" s="6" t="s">
        <x:v>809</x:v>
      </x:c>
      <x:c r="H1" s="6" t="s">
        <x:v>810</x:v>
      </x:c>
      <x:c r="I1" s="7" t="s">
        <x:v>560</x:v>
      </x:c>
    </x:row>
    <x:row r="2" ht="73" customHeight="1">
      <x:c r="A2" s="8" t="s">
        <x:v>766</x:v>
      </x:c>
      <x:c r="B2" s="8">
        <x:v>1</x:v>
      </x:c>
      <x:c r="C2" s="8" t="s">
        <x:v>775</x:v>
      </x:c>
      <x:c r="D2" s="8" t="s">
        <x:v>581</x:v>
      </x:c>
      <x:c r="E2" s="8" t="s">
        <x:v>773</x:v>
      </x:c>
      <x:c r="F2" s="8" t="s">
        <x:v>774</x:v>
      </x:c>
      <x:c r="G2" s="8" t="s">
        <x:v>776</x:v>
      </x:c>
      <x:c r="H2" s="8" t="s">
        <x:v>811</x:v>
      </x:c>
      <x:c r="I2" s="8" t="s">
        <x:v>772</x:v>
      </x:c>
    </x:row>
    <x:row r="3" ht="73" customHeight="1">
      <x:c r="A3" s="8" t="s">
        <x:v>777</x:v>
      </x:c>
      <x:c r="B3" s="8">
        <x:v>1</x:v>
      </x:c>
      <x:c r="C3" s="8" t="s">
        <x:v>779</x:v>
      </x:c>
      <x:c r="D3" s="8" t="s">
        <x:v>581</x:v>
      </x:c>
      <x:c r="E3" s="8" t="s">
        <x:v>773</x:v>
      </x:c>
      <x:c r="F3" s="8" t="s">
        <x:v>774</x:v>
      </x:c>
      <x:c r="G3" s="8" t="s">
        <x:v>780</x:v>
      </x:c>
      <x:c r="H3" s="8" t="s">
        <x:v>812</x:v>
      </x:c>
      <x:c r="I3" s="8" t="s">
        <x:v>778</x:v>
      </x:c>
    </x:row>
    <x:row r="4" ht="73" customHeight="1">
      <x:c r="A4" s="8" t="s">
        <x:v>781</x:v>
      </x:c>
      <x:c r="B4" s="8">
        <x:v>1</x:v>
      </x:c>
      <x:c r="C4" s="8" t="s">
        <x:v>788</x:v>
      </x:c>
      <x:c r="D4" s="8" t="s">
        <x:v>813</x:v>
      </x:c>
      <x:c r="E4" s="8" t="s">
        <x:v>786</x:v>
      </x:c>
      <x:c r="F4" s="8" t="s">
        <x:v>787</x:v>
      </x:c>
      <x:c r="G4" s="8" t="s">
        <x:v>762</x:v>
      </x:c>
      <x:c r="H4" s="8"/>
      <x:c r="I4" s="8" t="s">
        <x:v>785</x:v>
      </x:c>
    </x:row>
    <x:row r="5" ht="73" customHeight="1">
      <x:c r="A5" s="8" t="s">
        <x:v>789</x:v>
      </x:c>
      <x:c r="B5" s="8">
        <x:v>1</x:v>
      </x:c>
      <x:c r="C5" s="8" t="s">
        <x:v>788</x:v>
      </x:c>
      <x:c r="D5" s="8" t="s">
        <x:v>813</x:v>
      </x:c>
      <x:c r="E5" s="8" t="s">
        <x:v>792</x:v>
      </x:c>
      <x:c r="F5" s="8" t="s">
        <x:v>774</x:v>
      </x:c>
      <x:c r="G5" s="8" t="s">
        <x:v>762</x:v>
      </x:c>
      <x:c r="H5" s="8"/>
      <x:c r="I5" s="8" t="s">
        <x:v>791</x:v>
      </x:c>
    </x:row>
    <x:row r="6" ht="73" customHeight="1">
      <x:c r="A6" s="8" t="s">
        <x:v>793</x:v>
      </x:c>
      <x:c r="B6" s="8">
        <x:v>1</x:v>
      </x:c>
      <x:c r="C6" s="8" t="s">
        <x:v>788</x:v>
      </x:c>
      <x:c r="D6" s="8" t="s">
        <x:v>813</x:v>
      </x:c>
      <x:c r="E6" s="8" t="s">
        <x:v>796</x:v>
      </x:c>
      <x:c r="F6" s="8" t="s">
        <x:v>774</x:v>
      </x:c>
      <x:c r="G6" s="8" t="s">
        <x:v>762</x:v>
      </x:c>
      <x:c r="H6" s="8"/>
      <x:c r="I6" s="8" t="s">
        <x:v>795</x:v>
      </x:c>
    </x:row>
    <x:row r="7" ht="73" customHeight="1">
      <x:c r="A7" s="8" t="s">
        <x:v>797</x:v>
      </x:c>
      <x:c r="B7" s="8">
        <x:v>1</x:v>
      </x:c>
      <x:c r="C7" s="8" t="s">
        <x:v>788</x:v>
      </x:c>
      <x:c r="D7" s="8" t="s">
        <x:v>813</x:v>
      </x:c>
      <x:c r="E7" s="8" t="s">
        <x:v>800</x:v>
      </x:c>
      <x:c r="F7" s="8" t="s">
        <x:v>774</x:v>
      </x:c>
      <x:c r="G7" s="8" t="s">
        <x:v>762</x:v>
      </x:c>
      <x:c r="H7" s="8"/>
      <x:c r="I7" s="8" t="s">
        <x:v>799</x:v>
      </x:c>
    </x:row>
    <x:row r="8" ht="73" customHeight="1">
      <x:c r="A8" s="8" t="s">
        <x:v>801</x:v>
      </x:c>
      <x:c r="B8" s="8">
        <x:v>1</x:v>
      </x:c>
      <x:c r="C8" s="8" t="s">
        <x:v>788</x:v>
      </x:c>
      <x:c r="D8" s="8" t="s">
        <x:v>813</x:v>
      </x:c>
      <x:c r="E8" s="8" t="s">
        <x:v>796</x:v>
      </x:c>
      <x:c r="F8" s="8" t="s">
        <x:v>774</x:v>
      </x:c>
      <x:c r="G8" s="8" t="s">
        <x:v>814</x:v>
      </x:c>
      <x:c r="H8" s="8"/>
      <x:c r="I8" s="8" t="s">
        <x:v>815</x:v>
      </x:c>
    </x:row>
    <x:row r="9" ht="73" customHeight="1">
      <x:c r="A9" s="8" t="s">
        <x:v>801</x:v>
      </x:c>
      <x:c r="B9" s="8">
        <x:v>2</x:v>
      </x:c>
      <x:c r="C9" s="8" t="s">
        <x:v>788</x:v>
      </x:c>
      <x:c r="D9" s="8" t="s">
        <x:v>813</x:v>
      </x:c>
      <x:c r="E9" s="8" t="s">
        <x:v>816</x:v>
      </x:c>
      <x:c r="F9" s="8" t="s">
        <x:v>774</x:v>
      </x:c>
      <x:c r="G9" s="8" t="s">
        <x:v>817</x:v>
      </x:c>
      <x:c r="H9" s="8"/>
      <x:c r="I9" s="8" t="s">
        <x:v>818</x:v>
      </x:c>
    </x:row>
  </x:sheetData>
  <x:pageMargins left="0.7" right="0.7" top="0.75" bottom="0.75" header="0.3" footer="0.3"/>
  <x:tableParts count="1">
    <x:tablePart xmlns:r="http://schemas.openxmlformats.org/officeDocument/2006/relationships" r:id="R9ec9d213ba6b43b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ColWidth="9.00390625" defaultRowHeight="13.550000190734863"/>
  <x:cols>
    <x:col min="1" max="1" width="10" customWidth="1"/>
    <x:col min="2" max="2" width="26" customWidth="1"/>
    <x:col min="3" max="3" width="32" customWidth="1"/>
    <x:col min="4" max="4" width="79" customWidth="1"/>
    <x:col min="5" max="5" width="69" customWidth="1"/>
    <x:col min="6" max="6" width="77" customWidth="1"/>
    <x:col min="7" max="7" width="38" customWidth="1"/>
    <x:col min="8" max="8" width="38" customWidth="1"/>
  </x:cols>
  <x:sheetData>
    <x:row r="1" ht="32" customHeight="1">
      <x:c r="A1" s="5" t="s">
        <x:v>819</x:v>
      </x:c>
      <x:c r="B1" s="6" t="s">
        <x:v>820</x:v>
      </x:c>
      <x:c r="C1" s="6" t="s">
        <x:v>821</x:v>
      </x:c>
      <x:c r="D1" s="6" t="s">
        <x:v>822</x:v>
      </x:c>
      <x:c r="E1" s="6" t="s">
        <x:v>823</x:v>
      </x:c>
      <x:c r="F1" s="7" t="s">
        <x:v>824</x:v>
      </x:c>
      <x:c r="G1" s="7" t="str">
        <x:v>공통 기능 상태</x:v>
      </x:c>
      <x:c r="H1" s="7" t="str">
        <x:v>남은 작업</x:v>
      </x:c>
    </x:row>
    <x:row r="2" ht="90" customHeight="1">
      <x:c r="A2" s="8" t="s">
        <x:v>52</x:v>
      </x:c>
      <x:c r="B2" s="8" t="s">
        <x:v>825</x:v>
      </x:c>
      <x:c r="C2" s="8" t="s">
        <x:v>826</x:v>
      </x:c>
      <x:c r="D2" s="8" t="s">
        <x:v>827</x:v>
      </x:c>
      <x:c r="E2" s="8" t="s">
        <x:v>828</x:v>
      </x:c>
      <x:c r="F2" s="8" t="s">
        <x:v>829</x:v>
      </x:c>
      <x:c r="G2" s="8" t="str">
        <x:v>후속 구현</x:v>
      </x:c>
      <x:c r="H2" s="8" t="str">
        <x:v>기획에 맞는 개별 동작 구현</x:v>
      </x:c>
    </x:row>
    <x:row r="3" ht="90" customHeight="1">
      <x:c r="A3" s="8" t="s">
        <x:v>63</x:v>
      </x:c>
      <x:c r="B3" s="8" t="s">
        <x:v>830</x:v>
      </x:c>
      <x:c r="C3" s="8" t="s">
        <x:v>831</x:v>
      </x:c>
      <x:c r="D3" s="8" t="s">
        <x:v>832</x:v>
      </x:c>
      <x:c r="E3" s="8" t="s">
        <x:v>833</x:v>
      </x:c>
      <x:c r="F3" s="8" t="s">
        <x:v>834</x:v>
      </x:c>
      <x:c r="G3" s="8" t="str">
        <x:v>후속 구현</x:v>
      </x:c>
      <x:c r="H3" s="8" t="str">
        <x:v>기획에 맞는 개별 동작 구현</x:v>
      </x:c>
    </x:row>
    <x:row r="4" ht="90" customHeight="1">
      <x:c r="A4" s="8" t="s">
        <x:v>75</x:v>
      </x:c>
      <x:c r="B4" s="8" t="s">
        <x:v>835</x:v>
      </x:c>
      <x:c r="C4" s="8" t="s">
        <x:v>836</x:v>
      </x:c>
      <x:c r="D4" s="8" t="s">
        <x:v>837</x:v>
      </x:c>
      <x:c r="E4" s="8" t="s">
        <x:v>838</x:v>
      </x:c>
      <x:c r="F4" s="8" t="s">
        <x:v>839</x:v>
      </x:c>
      <x:c r="G4" s="8" t="str">
        <x:v>기반 구현·개별 연결 필요</x:v>
      </x:c>
      <x:c r="H4" s="8" t="str">
        <x:v>시트의 개별 조건·상한·피해 보정 및 UI 연결</x:v>
      </x:c>
    </x:row>
    <x:row r="5" ht="90" customHeight="1">
      <x:c r="A5" s="8" t="s">
        <x:v>840</x:v>
      </x:c>
      <x:c r="B5" s="8" t="s">
        <x:v>841</x:v>
      </x:c>
      <x:c r="C5" s="8" t="s">
        <x:v>842</x:v>
      </x:c>
      <x:c r="D5" s="8" t="s">
        <x:v>843</x:v>
      </x:c>
      <x:c r="E5" s="8" t="s">
        <x:v>844</x:v>
      </x:c>
      <x:c r="F5" s="8" t="s">
        <x:v>77</x:v>
      </x:c>
      <x:c r="G5" s="8" t="str">
        <x:v>후속 구현</x:v>
      </x:c>
      <x:c r="H5" s="8" t="str">
        <x:v>기획에 맞는 개별 동작 구현</x:v>
      </x:c>
    </x:row>
    <x:row r="6" ht="90" customHeight="1">
      <x:c r="A6" s="8" t="s">
        <x:v>87</x:v>
      </x:c>
      <x:c r="B6" s="8" t="s">
        <x:v>845</x:v>
      </x:c>
      <x:c r="C6" s="8" t="s">
        <x:v>846</x:v>
      </x:c>
      <x:c r="D6" s="8" t="s">
        <x:v>847</x:v>
      </x:c>
      <x:c r="E6" s="8" t="s">
        <x:v>848</x:v>
      </x:c>
      <x:c r="F6" s="8" t="s">
        <x:v>849</x:v>
      </x:c>
      <x:c r="G6" s="8" t="str">
        <x:v>후속 구현</x:v>
      </x:c>
      <x:c r="H6" s="8" t="str">
        <x:v>기획에 맞는 개별 동작 구현</x:v>
      </x:c>
    </x:row>
    <x:row r="7" ht="90" customHeight="1">
      <x:c r="A7" s="8" t="s">
        <x:v>113</x:v>
      </x:c>
      <x:c r="B7" s="8" t="s">
        <x:v>850</x:v>
      </x:c>
      <x:c r="C7" s="8" t="s">
        <x:v>851</x:v>
      </x:c>
      <x:c r="D7" s="8" t="s">
        <x:v>852</x:v>
      </x:c>
      <x:c r="E7" s="8" t="s">
        <x:v>853</x:v>
      </x:c>
      <x:c r="F7" s="8" t="s">
        <x:v>854</x:v>
      </x:c>
      <x:c r="G7" s="8" t="str">
        <x:v>기반 구현·개별 연결 필요</x:v>
      </x:c>
      <x:c r="H7" s="8" t="str">
        <x:v>시트의 개별 조건·상한·피해 보정 및 UI 연결</x:v>
      </x:c>
    </x:row>
    <x:row r="8" ht="90" customHeight="1">
      <x:c r="A8" s="8" t="s">
        <x:v>127</x:v>
      </x:c>
      <x:c r="B8" s="8" t="s">
        <x:v>855</x:v>
      </x:c>
      <x:c r="C8" s="8" t="s">
        <x:v>856</x:v>
      </x:c>
      <x:c r="D8" s="8" t="s">
        <x:v>857</x:v>
      </x:c>
      <x:c r="E8" s="8" t="s">
        <x:v>858</x:v>
      </x:c>
      <x:c r="F8" s="8" t="s">
        <x:v>859</x:v>
      </x:c>
      <x:c r="G8" s="8" t="str">
        <x:v>기반 구현·개별 연결 필요</x:v>
      </x:c>
      <x:c r="H8" s="8" t="str">
        <x:v>시트의 개별 조건·상한·피해 보정 및 UI 연결</x:v>
      </x:c>
    </x:row>
    <x:row r="9" ht="90" customHeight="1">
      <x:c r="A9" s="8" t="s">
        <x:v>138</x:v>
      </x:c>
      <x:c r="B9" s="8" t="s">
        <x:v>860</x:v>
      </x:c>
      <x:c r="C9" s="8" t="s">
        <x:v>861</x:v>
      </x:c>
      <x:c r="D9" s="8" t="s">
        <x:v>862</x:v>
      </x:c>
      <x:c r="E9" s="8" t="s">
        <x:v>863</x:v>
      </x:c>
      <x:c r="F9" s="8" t="s">
        <x:v>864</x:v>
      </x:c>
      <x:c r="G9" s="8" t="str">
        <x:v>후속 구현</x:v>
      </x:c>
      <x:c r="H9" s="8" t="str">
        <x:v>기획에 맞는 개별 동작 구현</x:v>
      </x:c>
    </x:row>
    <x:row r="10" ht="90" customHeight="1">
      <x:c r="A10" s="8" t="s">
        <x:v>148</x:v>
      </x:c>
      <x:c r="B10" s="8" t="s">
        <x:v>865</x:v>
      </x:c>
      <x:c r="C10" s="8" t="s">
        <x:v>866</x:v>
      </x:c>
      <x:c r="D10" s="8" t="s">
        <x:v>867</x:v>
      </x:c>
      <x:c r="E10" s="8" t="s">
        <x:v>868</x:v>
      </x:c>
      <x:c r="F10" s="8" t="s">
        <x:v>869</x:v>
      </x:c>
      <x:c r="G10" s="8" t="str">
        <x:v>후속 구현</x:v>
      </x:c>
      <x:c r="H10" s="8" t="str">
        <x:v>기획에 맞는 개별 동작 구현</x:v>
      </x:c>
    </x:row>
    <x:row r="11" ht="90" customHeight="1">
      <x:c r="A11" s="8" t="s">
        <x:v>870</x:v>
      </x:c>
      <x:c r="B11" s="8" t="s">
        <x:v>871</x:v>
      </x:c>
      <x:c r="C11" s="8" t="s">
        <x:v>872</x:v>
      </x:c>
      <x:c r="D11" s="8" t="s">
        <x:v>873</x:v>
      </x:c>
      <x:c r="E11" s="8" t="s">
        <x:v>874</x:v>
      </x:c>
      <x:c r="F11" s="8" t="s">
        <x:v>164</x:v>
      </x:c>
      <x:c r="G11" s="8" t="str">
        <x:v>기반 구현·개별 연결 필요</x:v>
      </x:c>
      <x:c r="H11" s="8" t="str">
        <x:v>시트의 개별 조건·상한·피해 보정 및 UI 연결</x:v>
      </x:c>
    </x:row>
    <x:row r="12" ht="90" customHeight="1">
      <x:c r="A12" s="8" t="s">
        <x:v>875</x:v>
      </x:c>
      <x:c r="B12" s="8" t="s">
        <x:v>876</x:v>
      </x:c>
      <x:c r="C12" s="8" t="s">
        <x:v>877</x:v>
      </x:c>
      <x:c r="D12" s="8" t="s">
        <x:v>878</x:v>
      </x:c>
      <x:c r="E12" s="8" t="s">
        <x:v>879</x:v>
      </x:c>
      <x:c r="F12" s="8" t="s">
        <x:v>175</x:v>
      </x:c>
      <x:c r="G12" s="8" t="str">
        <x:v>후속 구현</x:v>
      </x:c>
      <x:c r="H12" s="8" t="str">
        <x:v>기획에 맞는 개별 동작 구현</x:v>
      </x:c>
    </x:row>
    <x:row r="13" ht="90" customHeight="1">
      <x:c r="A13" s="8" t="s">
        <x:v>184</x:v>
      </x:c>
      <x:c r="B13" s="8" t="s">
        <x:v>880</x:v>
      </x:c>
      <x:c r="C13" s="8" t="s">
        <x:v>881</x:v>
      </x:c>
      <x:c r="D13" s="8" t="s">
        <x:v>882</x:v>
      </x:c>
      <x:c r="E13" s="8" t="s">
        <x:v>883</x:v>
      </x:c>
      <x:c r="F13" s="8" t="s">
        <x:v>884</x:v>
      </x:c>
      <x:c r="G13" s="8" t="str">
        <x:v>기반 구현·개별 연결 필요</x:v>
      </x:c>
      <x:c r="H13" s="8" t="str">
        <x:v>시트의 개별 조건·상한·피해 보정 및 UI 연결</x:v>
      </x:c>
    </x:row>
    <x:row r="14" ht="90" customHeight="1">
      <x:c r="A14" s="8" t="s">
        <x:v>885</x:v>
      </x:c>
      <x:c r="B14" s="8" t="s">
        <x:v>886</x:v>
      </x:c>
      <x:c r="C14" s="8" t="s">
        <x:v>887</x:v>
      </x:c>
      <x:c r="D14" s="8" t="s">
        <x:v>888</x:v>
      </x:c>
      <x:c r="E14" s="8" t="s">
        <x:v>889</x:v>
      </x:c>
      <x:c r="F14" s="8" t="s">
        <x:v>190</x:v>
      </x:c>
      <x:c r="G14" s="8" t="str">
        <x:v>후속 구현</x:v>
      </x:c>
      <x:c r="H14" s="8" t="str">
        <x:v>기획에 맞는 개별 동작 구현</x:v>
      </x:c>
    </x:row>
    <x:row r="15" ht="90" customHeight="1">
      <x:c r="A15" s="8" t="s">
        <x:v>890</x:v>
      </x:c>
      <x:c r="B15" s="8" t="s">
        <x:v>891</x:v>
      </x:c>
      <x:c r="C15" s="8" t="s">
        <x:v>892</x:v>
      </x:c>
      <x:c r="D15" s="8" t="s">
        <x:v>893</x:v>
      </x:c>
      <x:c r="E15" s="8" t="s">
        <x:v>894</x:v>
      </x:c>
      <x:c r="F15" s="8" t="s">
        <x:v>895</x:v>
      </x:c>
      <x:c r="G15" s="8" t="str">
        <x:v>기반 구현·개별 연결 필요</x:v>
      </x:c>
      <x:c r="H15" s="8" t="str">
        <x:v>시트의 개별 조건·상한·피해 보정 및 UI 연결</x:v>
      </x:c>
    </x:row>
    <x:row r="16" ht="90" customHeight="1">
      <x:c r="A16" s="8" t="s">
        <x:v>896</x:v>
      </x:c>
      <x:c r="B16" s="8" t="s">
        <x:v>897</x:v>
      </x:c>
      <x:c r="C16" s="8" t="s">
        <x:v>898</x:v>
      </x:c>
      <x:c r="D16" s="8" t="s">
        <x:v>899</x:v>
      </x:c>
      <x:c r="E16" s="8" t="s">
        <x:v>900</x:v>
      </x:c>
      <x:c r="F16" s="8" t="s">
        <x:v>901</x:v>
      </x:c>
      <x:c r="G16" s="8" t="str">
        <x:v>후속 구현</x:v>
      </x:c>
      <x:c r="H16" s="8" t="str">
        <x:v>기획에 맞는 개별 동작 구현</x:v>
      </x:c>
    </x:row>
    <x:row r="17" ht="90" customHeight="1">
      <x:c r="A17" s="8" t="s">
        <x:v>224</x:v>
      </x:c>
      <x:c r="B17" s="8" t="s">
        <x:v>902</x:v>
      </x:c>
      <x:c r="C17" s="8" t="s">
        <x:v>903</x:v>
      </x:c>
      <x:c r="D17" s="8" t="s">
        <x:v>904</x:v>
      </x:c>
      <x:c r="E17" s="8" t="s">
        <x:v>905</x:v>
      </x:c>
      <x:c r="F17" s="8" t="s">
        <x:v>906</x:v>
      </x:c>
      <x:c r="G17" s="8" t="str">
        <x:v>기반 구현·개별 연결 필요</x:v>
      </x:c>
      <x:c r="H17" s="8" t="str">
        <x:v>시트의 개별 조건·상한·피해 보정 및 UI 연결</x:v>
      </x:c>
    </x:row>
    <x:row r="18" ht="90" customHeight="1">
      <x:c r="A18" s="8" t="s">
        <x:v>230</x:v>
      </x:c>
      <x:c r="B18" s="8" t="s">
        <x:v>907</x:v>
      </x:c>
      <x:c r="C18" s="8" t="s">
        <x:v>908</x:v>
      </x:c>
      <x:c r="D18" s="8" t="s">
        <x:v>909</x:v>
      </x:c>
      <x:c r="E18" s="8" t="s">
        <x:v>910</x:v>
      </x:c>
      <x:c r="F18" s="8" t="s">
        <x:v>911</x:v>
      </x:c>
      <x:c r="G18" s="8" t="str">
        <x:v>기반 구현·개별 연결 필요</x:v>
      </x:c>
      <x:c r="H18" s="8" t="str">
        <x:v>시트의 개별 조건·상한·피해 보정 및 UI 연결</x:v>
      </x:c>
    </x:row>
    <x:row r="19" ht="90" customHeight="1">
      <x:c r="A19" s="8" t="s">
        <x:v>258</x:v>
      </x:c>
      <x:c r="B19" s="8" t="s">
        <x:v>912</x:v>
      </x:c>
      <x:c r="C19" s="8" t="s">
        <x:v>913</x:v>
      </x:c>
      <x:c r="D19" s="8" t="s">
        <x:v>914</x:v>
      </x:c>
      <x:c r="E19" s="8" t="s">
        <x:v>915</x:v>
      </x:c>
      <x:c r="F19" s="8" t="s">
        <x:v>916</x:v>
      </x:c>
      <x:c r="G19" s="8" t="str">
        <x:v>후속 구현</x:v>
      </x:c>
      <x:c r="H19" s="8" t="str">
        <x:v>기획에 맞는 개별 동작 구현</x:v>
      </x:c>
    </x:row>
    <x:row r="20" ht="90" customHeight="1">
      <x:c r="A20" s="8" t="s">
        <x:v>264</x:v>
      </x:c>
      <x:c r="B20" s="8" t="s">
        <x:v>917</x:v>
      </x:c>
      <x:c r="C20" s="8" t="s">
        <x:v>918</x:v>
      </x:c>
      <x:c r="D20" s="8" t="s">
        <x:v>919</x:v>
      </x:c>
      <x:c r="E20" s="8" t="s">
        <x:v>920</x:v>
      </x:c>
      <x:c r="F20" s="8" t="s">
        <x:v>260</x:v>
      </x:c>
      <x:c r="G20" s="8" t="str">
        <x:v>기반 구현·개별 연결 필요</x:v>
      </x:c>
      <x:c r="H20" s="8" t="str">
        <x:v>시트의 개별 조건·상한·피해 보정 및 UI 연결</x:v>
      </x:c>
    </x:row>
    <x:row r="21" ht="90" customHeight="1">
      <x:c r="A21" s="8" t="s">
        <x:v>269</x:v>
      </x:c>
      <x:c r="B21" s="8" t="s">
        <x:v>921</x:v>
      </x:c>
      <x:c r="C21" s="8" t="s">
        <x:v>922</x:v>
      </x:c>
      <x:c r="D21" s="8" t="s">
        <x:v>923</x:v>
      </x:c>
      <x:c r="E21" s="8" t="s">
        <x:v>924</x:v>
      </x:c>
      <x:c r="F21" s="8" t="s">
        <x:v>925</x:v>
      </x:c>
      <x:c r="G21" s="8" t="str">
        <x:v>후속 구현</x:v>
      </x:c>
      <x:c r="H21" s="8" t="str">
        <x:v>기획에 맞는 개별 동작 구현</x:v>
      </x:c>
    </x:row>
    <x:row r="22" ht="90" customHeight="1">
      <x:c r="A22" s="8" t="s">
        <x:v>926</x:v>
      </x:c>
      <x:c r="B22" s="8" t="s">
        <x:v>927</x:v>
      </x:c>
      <x:c r="C22" s="8" t="s">
        <x:v>928</x:v>
      </x:c>
      <x:c r="D22" s="8" t="s">
        <x:v>929</x:v>
      </x:c>
      <x:c r="E22" s="8" t="s">
        <x:v>930</x:v>
      </x:c>
      <x:c r="F22" s="8" t="s">
        <x:v>931</x:v>
      </x:c>
      <x:c r="G22" s="8" t="str">
        <x:v>공통 처리 구현</x:v>
      </x:c>
      <x:c r="H22" s="8" t="str">
        <x:v>데이터별 전투·UI 검증 후 적용</x:v>
      </x:c>
    </x:row>
    <x:row r="23" ht="90" customHeight="1">
      <x:c r="A23" s="8" t="s">
        <x:v>365</x:v>
      </x:c>
      <x:c r="B23" s="8" t="s">
        <x:v>932</x:v>
      </x:c>
      <x:c r="C23" s="8" t="s">
        <x:v>933</x:v>
      </x:c>
      <x:c r="D23" s="8" t="s">
        <x:v>934</x:v>
      </x:c>
      <x:c r="E23" s="8" t="s">
        <x:v>935</x:v>
      </x:c>
      <x:c r="F23" s="8" t="s">
        <x:v>936</x:v>
      </x:c>
      <x:c r="G23" s="8" t="str">
        <x:v>기반 구현·개별 연결 필요</x:v>
      </x:c>
      <x:c r="H23" s="8" t="str">
        <x:v>시트의 개별 조건·상한·피해 보정 및 UI 연결</x:v>
      </x:c>
    </x:row>
    <x:row r="24" ht="90" customHeight="1">
      <x:c r="A24" s="8" t="s">
        <x:v>321</x:v>
      </x:c>
      <x:c r="B24" s="8" t="s">
        <x:v>937</x:v>
      </x:c>
      <x:c r="C24" s="8" t="s">
        <x:v>938</x:v>
      </x:c>
      <x:c r="D24" s="8" t="s">
        <x:v>939</x:v>
      </x:c>
      <x:c r="E24" s="8" t="s">
        <x:v>940</x:v>
      </x:c>
      <x:c r="F24" s="8" t="s">
        <x:v>941</x:v>
      </x:c>
      <x:c r="G24" s="8" t="str">
        <x:v>기반 구현·개별 연결 필요</x:v>
      </x:c>
      <x:c r="H24" s="8" t="str">
        <x:v>시트의 개별 조건·상한·피해 보정 및 UI 연결</x:v>
      </x:c>
    </x:row>
    <x:row r="25" ht="90" customHeight="1">
      <x:c r="A25" s="8" t="s">
        <x:v>942</x:v>
      </x:c>
      <x:c r="B25" s="8" t="s">
        <x:v>943</x:v>
      </x:c>
      <x:c r="C25" s="8" t="s">
        <x:v>944</x:v>
      </x:c>
      <x:c r="D25" s="8" t="str">
        <x:v>시전 완료 즉시 남은 행동 차단. 다음 자신의 턴을 1회 건너뛰고 그다음 자신의 턴 시작에 자연 해제. 자기 빙결은 피격 해제 없음. 빙하의 관은 자연 해제 때 잃은 체력의 20+5*n%(최대 100%)를 한 번 회복.</x:v>
      </x:c>
      <x:c r="E25" s="8" t="s">
        <x:v>945</x:v>
      </x:c>
      <x:c r="F25" s="8" t="s">
        <x:v>946</x:v>
      </x:c>
      <x:c r="G25" s="8" t="str">
        <x:v>공통 처리 구현</x:v>
      </x:c>
      <x:c r="H25" s="8" t="str">
        <x:v>데이터별 전투·UI 검증 후 적용</x:v>
      </x:c>
    </x:row>
    <x:row r="26" ht="90" customHeight="1">
      <x:c r="A26" s="8" t="s">
        <x:v>397</x:v>
      </x:c>
      <x:c r="B26" s="8" t="s">
        <x:v>947</x:v>
      </x:c>
      <x:c r="C26" s="8" t="s">
        <x:v>948</x:v>
      </x:c>
      <x:c r="D26" s="8" t="s">
        <x:v>949</x:v>
      </x:c>
      <x:c r="E26" s="8" t="s">
        <x:v>950</x:v>
      </x:c>
      <x:c r="F26" s="8" t="s">
        <x:v>951</x:v>
      </x:c>
      <x:c r="G26" s="8" t="str">
        <x:v>기반 구현·개별 연결 필요</x:v>
      </x:c>
      <x:c r="H26" s="8" t="str">
        <x:v>시트의 개별 조건·상한·피해 보정 및 UI 연결</x:v>
      </x:c>
    </x:row>
    <x:row r="27" ht="90" customHeight="1">
      <x:c r="A27" s="8" t="s">
        <x:v>439</x:v>
      </x:c>
      <x:c r="B27" s="8" t="s">
        <x:v>952</x:v>
      </x:c>
      <x:c r="C27" s="8" t="s">
        <x:v>953</x:v>
      </x:c>
      <x:c r="D27" s="8" t="s">
        <x:v>954</x:v>
      </x:c>
      <x:c r="E27" s="8" t="s">
        <x:v>955</x:v>
      </x:c>
      <x:c r="F27" s="8" t="s">
        <x:v>956</x:v>
      </x:c>
      <x:c r="G27" s="8" t="str">
        <x:v>후속 구현</x:v>
      </x:c>
      <x:c r="H27" s="8" t="str">
        <x:v>기획에 맞는 개별 동작 구현</x:v>
      </x:c>
    </x:row>
    <x:row r="28" ht="90" customHeight="1">
      <x:c r="A28" s="8" t="s">
        <x:v>454</x:v>
      </x:c>
      <x:c r="B28" s="8" t="s">
        <x:v>957</x:v>
      </x:c>
      <x:c r="C28" s="8" t="s">
        <x:v>958</x:v>
      </x:c>
      <x:c r="D28" s="8" t="s">
        <x:v>959</x:v>
      </x:c>
      <x:c r="E28" s="8" t="s">
        <x:v>960</x:v>
      </x:c>
      <x:c r="F28" s="8" t="s">
        <x:v>961</x:v>
      </x:c>
      <x:c r="G28" s="8" t="str">
        <x:v>후속 구현</x:v>
      </x:c>
      <x:c r="H28" s="8" t="str">
        <x:v>기획에 맞는 개별 동작 구현</x:v>
      </x:c>
    </x:row>
    <x:row r="29" ht="90" customHeight="1">
      <x:c r="A29" s="8" t="s">
        <x:v>482</x:v>
      </x:c>
      <x:c r="B29" s="8" t="s">
        <x:v>962</x:v>
      </x:c>
      <x:c r="C29" s="8" t="s">
        <x:v>963</x:v>
      </x:c>
      <x:c r="D29" s="8" t="s">
        <x:v>964</x:v>
      </x:c>
      <x:c r="E29" s="8" t="s">
        <x:v>965</x:v>
      </x:c>
      <x:c r="F29" s="8" t="s">
        <x:v>479</x:v>
      </x:c>
      <x:c r="G29" s="8" t="str">
        <x:v>기반 구현·개별 연결 필요</x:v>
      </x:c>
      <x:c r="H29" s="8" t="str">
        <x:v>시트의 개별 조건·상한·피해 보정 및 UI 연결</x:v>
      </x:c>
    </x:row>
    <x:row r="30" ht="90" customHeight="1">
      <x:c r="A30" s="8" t="s">
        <x:v>492</x:v>
      </x:c>
      <x:c r="B30" s="8" t="s">
        <x:v>966</x:v>
      </x:c>
      <x:c r="C30" s="8" t="s">
        <x:v>967</x:v>
      </x:c>
      <x:c r="D30" s="8" t="s">
        <x:v>968</x:v>
      </x:c>
      <x:c r="E30" s="8" t="s">
        <x:v>969</x:v>
      </x:c>
      <x:c r="F30" s="8" t="s">
        <x:v>970</x:v>
      </x:c>
      <x:c r="G30" s="8" t="str">
        <x:v>기반 구현·개별 연결 필요</x:v>
      </x:c>
      <x:c r="H30" s="8" t="str">
        <x:v>시트의 개별 조건·상한·피해 보정 및 UI 연결</x:v>
      </x:c>
    </x:row>
    <x:row r="31" ht="90" customHeight="1">
      <x:c r="A31" s="8" t="s">
        <x:v>971</x:v>
      </x:c>
      <x:c r="B31" s="8" t="s">
        <x:v>972</x:v>
      </x:c>
      <x:c r="C31" s="8" t="s">
        <x:v>973</x:v>
      </x:c>
      <x:c r="D31" s="8" t="s">
        <x:v>974</x:v>
      </x:c>
      <x:c r="E31" s="8" t="s">
        <x:v>975</x:v>
      </x:c>
      <x:c r="F31" s="8" t="s">
        <x:v>976</x:v>
      </x:c>
      <x:c r="G31" s="8" t="str">
        <x:v>기반 구현·개별 연결 필요</x:v>
      </x:c>
      <x:c r="H31" s="8" t="str">
        <x:v>시트의 개별 조건·상한·피해 보정 및 UI 연결</x:v>
      </x:c>
    </x:row>
    <x:row r="32" ht="90" customHeight="1">
      <x:c r="A32" s="8" t="s">
        <x:v>977</x:v>
      </x:c>
      <x:c r="B32" s="8" t="s">
        <x:v>978</x:v>
      </x:c>
      <x:c r="C32" s="8" t="s">
        <x:v>979</x:v>
      </x:c>
      <x:c r="D32" s="8" t="s">
        <x:v>980</x:v>
      </x:c>
      <x:c r="E32" s="8" t="s">
        <x:v>981</x:v>
      </x:c>
      <x:c r="F32" s="8" t="s">
        <x:v>547</x:v>
      </x:c>
      <x:c r="G32" s="8" t="str">
        <x:v>기반 구현·개별 연결 필요</x:v>
      </x:c>
      <x:c r="H32" s="8" t="str">
        <x:v>시트의 개별 조건·상한·피해 보정 및 UI 연결</x:v>
      </x:c>
    </x:row>
    <x:row r="33" ht="110" customHeight="1">
      <x:c r="A33" s="8" t="s">
        <x:v>982</x:v>
      </x:c>
      <x:c r="B33" s="8" t="s">
        <x:v>983</x:v>
      </x:c>
      <x:c r="C33" s="8" t="s">
        <x:v>984</x:v>
      </x:c>
      <x:c r="D33" s="8" t="s">
        <x:v>985</x:v>
      </x:c>
      <x:c r="E33" s="8" t="s">
        <x:v>986</x:v>
      </x:c>
      <x:c r="F33" s="8" t="s">
        <x:v>337</x:v>
      </x:c>
      <x:c r="G33" s="8" t="str">
        <x:v>공통 처리 구현</x:v>
      </x:c>
      <x:c r="H33" s="8" t="str">
        <x:v>데이터별 전투·UI 검증 후 적용</x:v>
      </x:c>
    </x:row>
    <x:row r="34" ht="110" customHeight="1">
      <x:c r="A34" s="8" t="s">
        <x:v>987</x:v>
      </x:c>
      <x:c r="B34" s="8" t="s">
        <x:v>988</x:v>
      </x:c>
      <x:c r="C34" s="8" t="s">
        <x:v>989</x:v>
      </x:c>
      <x:c r="D34" s="8" t="s">
        <x:v>990</x:v>
      </x:c>
      <x:c r="E34" s="8" t="s">
        <x:v>991</x:v>
      </x:c>
      <x:c r="F34" s="8" t="s">
        <x:v>341</x:v>
      </x:c>
      <x:c r="G34" s="8" t="str">
        <x:v>공통 처리 구현</x:v>
      </x:c>
      <x:c r="H34" s="8" t="str">
        <x:v>데이터별 전투·UI 검증 후 적용</x:v>
      </x:c>
    </x:row>
  </x:sheetData>
  <x:pageMargins left="0.7" right="0.7" top="0.75" bottom="0.75" header="0.3" footer="0.3"/>
  <x:tableParts count="1">
    <x:tablePart xmlns:r="http://schemas.openxmlformats.org/officeDocument/2006/relationships" r:id="R5fb381238c654274"/>
  </x:tableParts>
</x:worksheet>
</file>

<file path=xl/worksheets/sheet7.xml><?xml version="1.0" encoding="utf-8"?>
<x:worksheet xmlns:x="http://schemas.openxmlformats.org/spreadsheetml/2006/main">
  <x:sheetPr>
    <x:tabColor rgb="FF7C8996"/>
  </x:sheetPr>
  <x:sheetViews>
    <x:sheetView showGridLines="0" workbookViewId="0">
      <x:pane ySplit="1" topLeftCell="A2" activePane="bottomLeft" state="frozen"/>
    </x:sheetView>
  </x:sheetViews>
  <x:sheetFormatPr defaultColWidth="9.00390625" defaultRowHeight="13.550000190734863"/>
  <x:cols>
    <x:col min="1" max="1" width="27" customWidth="1"/>
    <x:col min="2" max="2" width="132" customWidth="1"/>
  </x:cols>
  <x:sheetData>
    <x:row r="1" ht="32" customHeight="1">
      <x:c r="A1" s="5" t="s">
        <x:v>992</x:v>
      </x:c>
      <x:c r="B1" s="7" t="s">
        <x:v>993</x:v>
      </x:c>
    </x:row>
    <x:row r="2" ht="58" customHeight="1">
      <x:c r="A2" s="8" t="s">
        <x:v>994</x:v>
      </x:c>
      <x:c r="B2" s="8" t="s">
        <x:v>995</x:v>
      </x:c>
    </x:row>
    <x:row r="3" ht="58" customHeight="1">
      <x:c r="A3" s="8" t="s">
        <x:v>996</x:v>
      </x:c>
      <x:c r="B3" s="8" t="s">
        <x:v>997</x:v>
      </x:c>
    </x:row>
    <x:row r="4" ht="58" customHeight="1">
      <x:c r="A4" s="8" t="s">
        <x:v>998</x:v>
      </x:c>
      <x:c r="B4" s="8" t="s">
        <x:v>999</x:v>
      </x:c>
    </x:row>
    <x:row r="5" ht="58" customHeight="1">
      <x:c r="A5" s="8" t="s">
        <x:v>1000</x:v>
      </x:c>
      <x:c r="B5" s="8" t="s">
        <x:v>1001</x:v>
      </x:c>
    </x:row>
    <x:row r="6" ht="58" customHeight="1">
      <x:c r="A6" s="8" t="s">
        <x:v>1002</x:v>
      </x:c>
      <x:c r="B6" s="8" t="s">
        <x:v>1003</x:v>
      </x:c>
    </x:row>
    <x:row r="7" ht="58" customHeight="1">
      <x:c r="A7" s="8" t="s">
        <x:v>1004</x:v>
      </x:c>
      <x:c r="B7" s="8" t="s">
        <x:v>1005</x:v>
      </x:c>
    </x:row>
    <x:row r="8" ht="58" customHeight="1">
      <x:c r="A8" s="8" t="s">
        <x:v>1006</x:v>
      </x:c>
      <x:c r="B8" s="8" t="s">
        <x:v>1007</x:v>
      </x:c>
    </x:row>
    <x:row r="9" ht="58" customHeight="1">
      <x:c r="A9" s="8" t="s">
        <x:v>1008</x:v>
      </x:c>
      <x:c r="B9" s="8" t="s">
        <x:v>1009</x:v>
      </x:c>
    </x:row>
    <x:row r="10" ht="58" customHeight="1">
      <x:c r="A10" s="8" t="s">
        <x:v>1010</x:v>
      </x:c>
      <x:c r="B10" s="8" t="s">
        <x:v>1011</x:v>
      </x:c>
    </x:row>
    <x:row r="11" ht="58" customHeight="1">
      <x:c r="A11" s="8" t="s">
        <x:v>1012</x:v>
      </x:c>
      <x:c r="B11" s="8" t="s">
        <x:v>1013</x:v>
      </x:c>
    </x:row>
    <x:row r="12" ht="58" customHeight="1">
      <x:c r="A12" s="8" t="s">
        <x:v>1014</x:v>
      </x:c>
      <x:c r="B12" s="8" t="s">
        <x:v>1015</x:v>
      </x:c>
    </x:row>
    <x:row r="13" ht="58" customHeight="1">
      <x:c r="A13" s="8" t="s">
        <x:v>1016</x:v>
      </x:c>
      <x:c r="B13" s="8" t="s">
        <x:v>1017</x:v>
      </x:c>
    </x:row>
    <x:row r="14" ht="58" customHeight="1">
      <x:c r="A14" s="8" t="s">
        <x:v>1018</x:v>
      </x:c>
      <x:c r="B14" s="8" t="s">
        <x:v>1019</x:v>
      </x:c>
    </x:row>
    <x:row r="15" ht="58" customHeight="1">
      <x:c r="A15" s="8" t="s">
        <x:v>1020</x:v>
      </x:c>
      <x:c r="B15" s="8" t="s">
        <x:v>1021</x:v>
      </x:c>
    </x:row>
    <x:row r="16" ht="58" customHeight="1">
      <x:c r="A16" s="8" t="s">
        <x:v>1022</x:v>
      </x:c>
      <x:c r="B16" s="8" t="s">
        <x:v>1023</x:v>
      </x:c>
    </x:row>
    <x:row r="17" ht="58" customHeight="1">
      <x:c r="A17" s="8" t="s">
        <x:v>37</x:v>
      </x:c>
      <x:c r="B17" s="8" t="s">
        <x:v>1024</x:v>
      </x:c>
    </x:row>
    <x:row r="18" ht="58" customHeight="1">
      <x:c r="A18" s="8" t="s">
        <x:v>1025</x:v>
      </x:c>
      <x:c r="B18" s="8" t="s">
        <x:v>1026</x:v>
      </x:c>
    </x:row>
    <x:row r="19" ht="58" customHeight="1">
      <x:c r="A19" s="8" t="s">
        <x:v>1027</x:v>
      </x:c>
      <x:c r="B19" s="8" t="s">
        <x:v>1028</x:v>
      </x:c>
    </x:row>
    <x:row r="20" ht="58" customHeight="1">
      <x:c r="A20" s="8" t="s">
        <x:v>1029</x:v>
      </x:c>
      <x:c r="B20" s="8" t="s">
        <x:v>1030</x:v>
      </x:c>
    </x:row>
    <x:row r="21" ht="58" customHeight="1">
      <x:c r="A21" s="8" t="s">
        <x:v>1031</x:v>
      </x:c>
      <x:c r="B21" s="8" t="s">
        <x:v>1032</x:v>
      </x:c>
    </x:row>
    <x:row r="22" ht="58" customHeight="1">
      <x:c r="A22" s="8" t="s">
        <x:v>1033</x:v>
      </x:c>
      <x:c r="B22" s="8" t="s">
        <x:v>1034</x:v>
      </x:c>
    </x:row>
    <x:row r="23" ht="58" customHeight="1">
      <x:c r="A23" s="8" t="s">
        <x:v>1035</x:v>
      </x:c>
      <x:c r="B23" s="8" t="s">
        <x:v>1036</x:v>
      </x:c>
    </x:row>
    <x:row r="24" ht="58" customHeight="1">
      <x:c r="A24" s="8" t="s">
        <x:v>1037</x:v>
      </x:c>
      <x:c r="B24" s="8" t="str">
        <x:v>n=스킬 레벨-1. 스킬 기획의 레벨 강화가 기준. 빙하의 관 회복은 20+5*n %이며 실제 회복률은 최대 100%. 목숨 담보의 체력 비용은 5로 통일.</x:v>
      </x:c>
    </x:row>
    <x:row r="25" ht="58" customHeight="1">
      <x:c r="A25" s="8" t="s">
        <x:v>1038</x:v>
      </x:c>
      <x:c r="B25" s="8" t="str">
        <x:v>개별 연계 구현 필요 행은 effectJson을 비워 둠. 공통 확장 조합은 추가된 actions·트리거·behaviorJson으로 표현. 미지원 동작을 실행 JSON에 넣지 않음.</x:v>
      </x:c>
    </x:row>
    <x:row r="26" ht="58" customHeight="1">
      <x:c r="A26" s="8" t="s">
        <x:v>1039</x:v>
      </x:c>
      <x:c r="B26" s="8" t="str">
        <x:v>rewardEnabled=1은 현재 코드와 동봉 효과로 표현한 후보. 0은 개별 연결이 남은 후보. 이 파일 동기화는 운영 Google Sheets나 Apps Script 배포를 변경하지 않음.</x:v>
      </x:c>
    </x:row>
    <x:row r="27" ht="58" customHeight="1">
      <x:c r="A27" s="8" t="s">
        <x:v>1040</x:v>
      </x:c>
      <x:c r="B27" s="8" t="s">
        <x:v>1041</x:v>
      </x:c>
    </x:row>
    <x:row r="28" ht="58" customHeight="1">
      <x:c r="A28" s="8" t="s">
        <x:v>1042</x:v>
      </x:c>
      <x:c r="B28" s="8" t="s">
        <x:v>1043</x:v>
      </x:c>
    </x:row>
    <x:row r="29" ht="58" customHeight="1">
      <x:c r="A29" s="8" t="s">
        <x:v>1044</x:v>
      </x:c>
      <x:c r="B29" s="8" t="s">
        <x:v>1045</x:v>
      </x:c>
    </x:row>
    <x:row r="30" ht="58" customHeight="1">
      <x:c r="A30" s="8" t="s">
        <x:v>1046</x:v>
      </x:c>
      <x:c r="B30" s="8" t="s">
        <x:v>1047</x:v>
      </x:c>
    </x:row>
    <x:row r="31" ht="58" customHeight="1">
      <x:c r="A31" s="8" t="s">
        <x:v>1048</x:v>
      </x:c>
      <x:c r="B31" s="8" t="s">
        <x:v>1049</x:v>
      </x:c>
    </x:row>
    <x:row r="32" ht="58" customHeight="1">
      <x:c r="A32" s="8" t="s">
        <x:v>1050</x:v>
      </x:c>
      <x:c r="B32" s="8" t="s">
        <x:v>1051</x:v>
      </x:c>
    </x:row>
    <x:row r="33" ht="58" customHeight="1">
      <x:c r="A33" s="8" t="s">
        <x:v>1052</x:v>
      </x:c>
      <x:c r="B33" s="8" t="s">
        <x:v>1053</x:v>
      </x:c>
    </x:row>
    <x:row r="34" ht="58" customHeight="1">
      <x:c r="A34" s="8" t="s">
        <x:v>1054</x:v>
      </x:c>
      <x:c r="B34" s="8" t="s">
        <x:v>1055</x:v>
      </x:c>
    </x:row>
    <x:row r="35" ht="58" customHeight="1">
      <x:c r="A35" s="8" t="s">
        <x:v>1056</x:v>
      </x:c>
      <x:c r="B35" s="8" t="s">
        <x:v>1057</x:v>
      </x:c>
    </x:row>
    <x:row r="36" ht="58" customHeight="1">
      <x:c r="A36" s="8" t="s">
        <x:v>1058</x:v>
      </x:c>
      <x:c r="B36" s="8" t="s">
        <x:v>1059</x:v>
      </x:c>
    </x:row>
    <x:row r="37" ht="58" customHeight="1">
      <x:c r="A37" s="8" t="s">
        <x:v>1060</x:v>
      </x:c>
      <x:c r="B37" s="8" t="s">
        <x:v>1061</x:v>
      </x:c>
    </x:row>
    <x:row r="38" ht="76" customHeight="1">
      <x:c r="A38" s="8" t="s">
        <x:v>1062</x:v>
      </x:c>
      <x:c r="B38" s="8" t="s">
        <x:v>1063</x:v>
      </x:c>
    </x:row>
    <x:row r="39" ht="76" customHeight="1">
      <x:c r="A39" s="8" t="s">
        <x:v>1064</x:v>
      </x:c>
      <x:c r="B39" s="8" t="s">
        <x:v>1065</x:v>
      </x:c>
    </x:row>
    <x:row r="40" ht="76" customHeight="1">
      <x:c r="A40" s="8" t="s">
        <x:v>1066</x:v>
      </x:c>
      <x:c r="B40" s="8" t="s">
        <x:v>1067</x:v>
      </x:c>
    </x:row>
    <x:row r="41" ht="76" customHeight="1">
      <x:c r="A41" s="8" t="s">
        <x:v>1068</x:v>
      </x:c>
      <x:c r="B41" s="8" t="s">
        <x:v>1069</x:v>
      </x:c>
    </x:row>
    <x:row r="42" ht="76" customHeight="1">
      <x:c r="A42" s="8" t="s">
        <x:v>988</x:v>
      </x:c>
      <x:c r="B42" s="8" t="s">
        <x:v>1070</x:v>
      </x:c>
    </x:row>
    <x:row r="43" ht="76" customHeight="1">
      <x:c r="A43" s="8" t="s">
        <x:v>1071</x:v>
      </x:c>
      <x:c r="B43" s="8" t="s">
        <x:v>1072</x:v>
      </x:c>
    </x:row>
    <x:row r="44" ht="76" customHeight="1">
      <x:c r="A44" s="8" t="s">
        <x:v>1073</x:v>
      </x:c>
      <x:c r="B44" s="8" t="s">
        <x:v>1074</x:v>
      </x:c>
    </x:row>
    <x:row r="45" ht="76" customHeight="1">
      <x:c r="A45" s="8" t="str">
        <x:v>기획 기준</x:v>
      </x:c>
      <x:c r="B45" s="8" t="str">
        <x:v>스킬 기획을 최종 기준으로 Skills의 이름·등급·비용·쿨타임·효과·강화와 지원 가능한 JSON을 동기화. 설명 충돌은 사용자 승인에 따라 속사권 쿨타임 1·행동력 0, 목숨 담보 비용 5, 얼음관 회복 레벨당 +5%p로 통일.</x:v>
      </x:c>
    </x:row>
    <x:row r="46" ht="76" customHeight="1">
      <x:c r="A46" s="8" t="str">
        <x:v>시트에서 공통 기능 작성</x:v>
      </x:c>
      <x:c r="B46" s="8" t="str">
        <x:v>Skills.effectJson의 actions 배열로 damage/shield/heal/applyEffect/removeEffect/consumeStacks/moveStacks/copyStacks를 순서대로 지정. 조건은 requireStacks·requireEffect·excludeEffect.</x:v>
      </x:c>
    </x:row>
    <x:row r="47" ht="76" customHeight="1">
      <x:c r="A47" s="8" t="str">
        <x:v>상태 행동 설정</x:v>
      </x:c>
      <x:c r="B47" s="8" t="str">
        <x:v>Effects.behaviorJson은 선택 열. control은 행동 주체별 스킵·자연 해제·피격 파괴, invulnerable은 피해 무효, hitDamage는 직접 명중당 추가 피해, retainShield는 출처별 방어막 유지.</x:v>
      </x:c>
    </x:row>
    <x:row r="48" ht="76" customHeight="1">
      <x:c r="A48" s="8" t="str">
        <x:v>횟수 제한 이벤트</x:v>
      </x:c>
      <x:c r="B48" s="8" t="str">
        <x:v>onHit/onCritical/onMiss/onEvade/onKill/onEffectRemoved/onDamage에서 actions 지정. maxActivations, maxActivationsPerTurn, oncePerTarget, oncePerAction으로 제한. 피해 원인·actor·targetId 필터 지원.</x:v>
      </x:c>
    </x:row>
    <x:row r="49" ht="76" customHeight="1">
      <x:c r="A49" s="8" t="str">
        <x:v>현 단계 범위</x:v>
      </x:c>
      <x:c r="B49" s="8" t="str">
        <x:v>공통 전투 기반과 일부 기본 조합을 구현·검증. 105개 전체의 개별 연계, 보조 대상 선택 UI, 보상 확률 보정, 운영 데이터 교체는 후속 작업. 몬스터 전용 출혈과 기존 효과 ID는 유지.</x:v>
      </x:c>
    </x:row>
  </x:sheetData>
  <x:pageMargins left="0.7" right="0.7" top="0.75" bottom="0.75" header="0.3" footer="0.3"/>
  <x:tableParts count="1">
    <x:tablePart xmlns:r="http://schemas.openxmlformats.org/officeDocument/2006/relationships" r:id="R6faed5a2d84b4a59"/>
  </x:tableParts>
</x:worksheet>
</file>